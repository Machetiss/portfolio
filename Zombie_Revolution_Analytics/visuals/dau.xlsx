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ОБУЧЕНИЕ Аналитика данных\SQL\ТЗ для аналитика-1 базовые метрики и когортный анализ игры\"/>
    </mc:Choice>
  </mc:AlternateContent>
  <xr:revisionPtr revIDLastSave="0" documentId="8_{B05A11DD-8855-47ED-BE35-2CD5511832FA}" xr6:coauthVersionLast="47" xr6:coauthVersionMax="47" xr10:uidLastSave="{00000000-0000-0000-0000-000000000000}"/>
  <bookViews>
    <workbookView xWindow="1110" yWindow="345" windowWidth="23835" windowHeight="14640" xr2:uid="{00000000-000D-0000-FFFF-FFFF00000000}"/>
  </bookViews>
  <sheets>
    <sheet name="dau" sheetId="1" r:id="rId1"/>
    <sheet name="wau" sheetId="3" r:id="rId2"/>
    <sheet name="mau" sheetId="4" r:id="rId3"/>
    <sheet name="Лист1" sheetId="2" r:id="rId4"/>
  </sheets>
  <definedNames>
    <definedName name="ExternalData_1" localSheetId="2" hidden="1">mau!$A$1:$D$11</definedName>
    <definedName name="ExternalData_1" localSheetId="1" hidden="1">wau!$A$1:$D$45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2" i="1"/>
  <c r="J30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88D0A-6A1E-432B-984E-FF22FF0ADD71}" keepAlive="1" name="Запрос — Результат запроса" description="Соединение с запросом &quot;Результат запроса&quot; в книге." type="5" refreshedVersion="8" background="1" saveData="1">
    <dbPr connection="Provider=Microsoft.Mashup.OleDb.1;Data Source=$Workbook$;Location=&quot;Результат запроса&quot;;Extended Properties=&quot;&quot;" command="SELECT * FROM [Результат запроса]"/>
  </connection>
  <connection id="2" xr16:uid="{53A35BBD-2486-4AAD-BA51-EB59FA353842}" keepAlive="1" name="Запрос — Результат запроса (2)" description="Соединение с запросом &quot;Результат запроса (2)&quot; в книге." type="5" refreshedVersion="8" background="1" saveData="1">
    <dbPr connection="Provider=Microsoft.Mashup.OleDb.1;Data Source=$Workbook$;Location=&quot;Результат запроса (2)&quot;;Extended Properties=&quot;&quot;" command="SELECT * FROM [Результат запроса (2)]"/>
  </connection>
</connections>
</file>

<file path=xl/sharedStrings.xml><?xml version="1.0" encoding="utf-8"?>
<sst xmlns="http://schemas.openxmlformats.org/spreadsheetml/2006/main" count="20" uniqueCount="14">
  <si>
    <t>day</t>
  </si>
  <si>
    <t>week_start</t>
  </si>
  <si>
    <t>month_start</t>
  </si>
  <si>
    <t>iso_year</t>
  </si>
  <si>
    <t>iso_week</t>
  </si>
  <si>
    <t>year</t>
  </si>
  <si>
    <t>month</t>
  </si>
  <si>
    <t>dau</t>
  </si>
  <si>
    <t>wau</t>
  </si>
  <si>
    <t>mau</t>
  </si>
  <si>
    <t>MAU</t>
  </si>
  <si>
    <t>WAU</t>
  </si>
  <si>
    <t>SFW</t>
  </si>
  <si>
    <t>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</si>
</sst>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/>
    <xf numFmtId="2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0A2ED8B2-2138-469E-9A14-1349BD50E9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Активные пользователи</a:t>
            </a:r>
            <a:r>
              <a:rPr lang="en-US" baseline="0"/>
              <a:t> DAU WAU MAU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dau!$I$1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dau!$A$2:$A$304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dau!$I$2:$I$304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7-436B-8B47-E711C4006B53}"/>
            </c:ext>
          </c:extLst>
        </c:ser>
        <c:ser>
          <c:idx val="2"/>
          <c:order val="2"/>
          <c:tx>
            <c:strRef>
              <c:f>dau!$J$1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dau!$A$2:$A$304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dau!$J$2:$J$304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7-436B-8B47-E711C4006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27080"/>
        <c:axId val="427919160"/>
      </c:lineChart>
      <c:lineChart>
        <c:grouping val="standard"/>
        <c:varyColors val="0"/>
        <c:ser>
          <c:idx val="0"/>
          <c:order val="0"/>
          <c:tx>
            <c:strRef>
              <c:f>dau!$H$1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dau!$A$2:$A$304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dau!$H$2:$H$304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7-436B-8B47-E711C4006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362832"/>
        <c:axId val="701193168"/>
      </c:lineChart>
      <c:dateAx>
        <c:axId val="427927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919160"/>
        <c:crosses val="autoZero"/>
        <c:auto val="1"/>
        <c:lblOffset val="100"/>
        <c:baseTimeUnit val="days"/>
      </c:dateAx>
      <c:valAx>
        <c:axId val="42791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927080"/>
        <c:crosses val="autoZero"/>
        <c:crossBetween val="between"/>
      </c:valAx>
      <c:valAx>
        <c:axId val="701193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362832"/>
        <c:crosses val="max"/>
        <c:crossBetween val="between"/>
      </c:valAx>
      <c:dateAx>
        <c:axId val="7003628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01193168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en-US" sz="1400" b="0" i="0" u="none" strike="noStrike" baseline="0">
                <a:effectLst/>
              </a:rPr>
              <a:t>Sticky factor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dau!$K$1</c:f>
              <c:strCache>
                <c:ptCount val="1"/>
                <c:pt idx="0">
                  <c:v>SFW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dau!$A$2:$A$304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dau!$K$2:$K$304</c:f>
              <c:numCache>
                <c:formatCode>0.00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7-46E3-A76A-5D4E9FBA82D9}"/>
            </c:ext>
          </c:extLst>
        </c:ser>
        <c:ser>
          <c:idx val="1"/>
          <c:order val="1"/>
          <c:tx>
            <c:strRef>
              <c:f>dau!$L$1</c:f>
              <c:strCache>
                <c:ptCount val="1"/>
                <c:pt idx="0">
                  <c:v>SFM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dau!$A$2:$A$304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dau!$L$2:$L$304</c:f>
              <c:numCache>
                <c:formatCode>0.00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07-46E3-A76A-5D4E9FBA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31488"/>
        <c:axId val="1021631848"/>
      </c:lineChart>
      <c:dateAx>
        <c:axId val="1021631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31848"/>
        <c:crosses val="autoZero"/>
        <c:auto val="1"/>
        <c:lblOffset val="100"/>
        <c:baseTimeUnit val="days"/>
      </c:dateAx>
      <c:valAx>
        <c:axId val="10216318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276226</xdr:colOff>
      <xdr:row>4</xdr:row>
      <xdr:rowOff>71436</xdr:rowOff>
    </xdr:from>
    <xdr:to>
      <xdr:col>22</xdr:col>
      <xdr:colOff>542925</xdr:colOff>
      <xdr:row>28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A29652-DD74-1DDE-F36A-293CAEE3C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</xdr:colOff>
      <xdr:row>26</xdr:row>
      <xdr:rowOff>176211</xdr:rowOff>
    </xdr:from>
    <xdr:to>
      <xdr:col>17</xdr:col>
      <xdr:colOff>28575</xdr:colOff>
      <xdr:row>52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3797664-2B80-A72D-46E7-52341CD58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CDDDBB-2091-4449-8E0F-1CA8E45A4274}" autoFormatId="16" applyNumberFormats="0" applyBorderFormats="0" applyFontFormats="0" applyPatternFormats="0" applyAlignmentFormats="0" applyWidthHeightFormats="0">
  <queryTableRefresh nextId="5">
    <queryTableFields count="4">
      <queryTableField id="1" name="week_start" tableColumnId="1"/>
      <queryTableField id="2" name="iso_year" tableColumnId="2"/>
      <queryTableField id="3" name="iso_week" tableColumnId="3"/>
      <queryTableField id="4" name="wau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ABC551-0893-442C-917D-C22FD3D1BB46}" autoFormatId="16" applyNumberFormats="0" applyBorderFormats="0" applyFontFormats="0" applyPatternFormats="0" applyAlignmentFormats="0" applyWidthHeightFormats="0">
  <queryTableRefresh nextId="5">
    <queryTableFields count="4">
      <queryTableField id="1" name="month_start" tableColumnId="1"/>
      <queryTableField id="2" name="year" tableColumnId="2"/>
      <queryTableField id="3" name="month" tableColumnId="3"/>
      <queryTableField id="4" name="mau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3710F-C9FB-49FE-85A4-D4CE9E59AEE8}" name="Результат_запроса" displayName="Результат_запроса" ref="A1:D45" tableType="queryTable" totalsRowShown="0">
  <autoFilter ref="A1:D45" xr:uid="{09C3710F-C9FB-49FE-85A4-D4CE9E59AEE8}"/>
  <tableColumns count="4">
    <tableColumn id="1" xr3:uid="{933B1F7E-50EF-46FC-B326-C50AC0559134}" uniqueName="1" name="week_start" queryTableFieldId="1" dataDxfId="1"/>
    <tableColumn id="2" xr3:uid="{FC557ED8-0E00-47EA-9737-3B4E8C8C423E}" uniqueName="2" name="iso_year" queryTableFieldId="2"/>
    <tableColumn id="3" xr3:uid="{6734D03E-C144-482F-A03E-D25CC625E972}" uniqueName="3" name="iso_week" queryTableFieldId="3"/>
    <tableColumn id="4" xr3:uid="{F88FFA4E-9E5C-4121-92CC-CCAA53360B17}" uniqueName="4" name="wau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325FB3-30C9-4873-BB1E-B0DFE50CEEE9}" name="Результат_запроса__2" displayName="Результат_запроса__2" ref="A1:D11" tableType="queryTable" totalsRowShown="0">
  <autoFilter ref="A1:D11" xr:uid="{9D325FB3-30C9-4873-BB1E-B0DFE50CEEE9}"/>
  <tableColumns count="4">
    <tableColumn id="1" xr3:uid="{94F58251-6727-4610-BB7A-890B65B109AA}" uniqueName="1" name="month_start" queryTableFieldId="1" dataDxfId="0"/>
    <tableColumn id="2" xr3:uid="{7F8314B1-1B86-4ACB-A51A-491F5CF62FC0}" uniqueName="2" name="year" queryTableFieldId="2"/>
    <tableColumn id="3" xr3:uid="{F33AC327-AB4B-4374-B5C0-49E6D00AA193}" uniqueName="3" name="month" queryTableFieldId="3"/>
    <tableColumn id="4" xr3:uid="{2B43B6E9-306A-43ED-AA7A-49D275846DE1}" uniqueName="4" name="mau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topLeftCell="A16" workbookViewId="0">
      <selection activeCell="J2" sqref="J2"/>
    </sheetView>
  </sheetViews>
  <sheetFormatPr defaultRowHeight="15" x14ac:dyDescent="0.25"/>
  <cols>
    <col min="1" max="1" width="10.140625" bestFit="1" customWidth="1"/>
    <col min="2" max="2" width="10.28515625" bestFit="1" customWidth="1"/>
    <col min="3" max="3" width="11.5703125" bestFit="1" customWidth="1"/>
    <col min="12" max="12" width="9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10</v>
      </c>
      <c r="K1" s="2" t="s">
        <v>12</v>
      </c>
      <c r="L1" s="2" t="s">
        <v>13</v>
      </c>
    </row>
    <row r="2" spans="1:12" x14ac:dyDescent="0.25">
      <c r="A2" s="1">
        <v>44744</v>
      </c>
      <c r="B2" s="1">
        <v>44739</v>
      </c>
      <c r="C2" s="1">
        <v>44743</v>
      </c>
      <c r="D2">
        <v>2022</v>
      </c>
      <c r="E2">
        <v>26</v>
      </c>
      <c r="F2">
        <v>2022</v>
      </c>
      <c r="G2">
        <v>7</v>
      </c>
      <c r="H2">
        <v>3</v>
      </c>
      <c r="I2">
        <f>VLOOKUP($B2,wau!$A:$D,4,0)</f>
        <v>6</v>
      </c>
      <c r="J2">
        <f>VLOOKUP($C2,mau!$A:$D,4,0)</f>
        <v>193</v>
      </c>
      <c r="K2" s="3">
        <f>IFERROR(H2/I2,"")</f>
        <v>0.5</v>
      </c>
      <c r="L2" s="3">
        <f>IFERROR(H2/J2,"")</f>
        <v>1.5544041450777202E-2</v>
      </c>
    </row>
    <row r="3" spans="1:12" x14ac:dyDescent="0.25">
      <c r="A3" s="1">
        <v>44745</v>
      </c>
      <c r="B3" s="1">
        <v>44739</v>
      </c>
      <c r="C3" s="1">
        <v>44743</v>
      </c>
      <c r="D3">
        <v>2022</v>
      </c>
      <c r="E3">
        <v>26</v>
      </c>
      <c r="F3">
        <v>2022</v>
      </c>
      <c r="G3">
        <v>7</v>
      </c>
      <c r="H3">
        <v>6</v>
      </c>
      <c r="I3">
        <f>VLOOKUP($B3,wau!$A:$D,4,0)</f>
        <v>6</v>
      </c>
      <c r="J3">
        <f>VLOOKUP($C3,mau!$A:$D,4,0)</f>
        <v>193</v>
      </c>
      <c r="K3" s="3">
        <f t="shared" ref="K3:K66" si="0">IFERROR(H3/I3,"")</f>
        <v>1</v>
      </c>
      <c r="L3" s="3">
        <f t="shared" ref="L3:L66" si="1">IFERROR(H3/J3,"")</f>
        <v>3.1088082901554404E-2</v>
      </c>
    </row>
    <row r="4" spans="1:12" x14ac:dyDescent="0.25">
      <c r="A4" s="1">
        <v>44746</v>
      </c>
      <c r="B4" s="1">
        <v>44746</v>
      </c>
      <c r="C4" s="1">
        <v>44743</v>
      </c>
      <c r="D4">
        <v>2022</v>
      </c>
      <c r="E4">
        <v>27</v>
      </c>
      <c r="F4">
        <v>2022</v>
      </c>
      <c r="G4">
        <v>7</v>
      </c>
      <c r="H4">
        <v>5</v>
      </c>
      <c r="I4">
        <f>VLOOKUP($B4,wau!$A:$D,4,0)</f>
        <v>59</v>
      </c>
      <c r="J4">
        <f>VLOOKUP($C4,mau!$A:$D,4,0)</f>
        <v>193</v>
      </c>
      <c r="K4" s="3">
        <f t="shared" si="0"/>
        <v>8.4745762711864403E-2</v>
      </c>
      <c r="L4" s="3">
        <f t="shared" si="1"/>
        <v>2.5906735751295335E-2</v>
      </c>
    </row>
    <row r="5" spans="1:12" x14ac:dyDescent="0.25">
      <c r="A5" s="1">
        <v>44747</v>
      </c>
      <c r="B5" s="1">
        <v>44746</v>
      </c>
      <c r="C5" s="1">
        <v>44743</v>
      </c>
      <c r="D5">
        <v>2022</v>
      </c>
      <c r="E5">
        <v>27</v>
      </c>
      <c r="F5">
        <v>2022</v>
      </c>
      <c r="G5">
        <v>7</v>
      </c>
      <c r="H5">
        <v>10</v>
      </c>
      <c r="I5">
        <f>VLOOKUP($B5,wau!$A:$D,4,0)</f>
        <v>59</v>
      </c>
      <c r="J5">
        <f>VLOOKUP($C5,mau!$A:$D,4,0)</f>
        <v>193</v>
      </c>
      <c r="K5" s="3">
        <f t="shared" si="0"/>
        <v>0.16949152542372881</v>
      </c>
      <c r="L5" s="3">
        <f t="shared" si="1"/>
        <v>5.181347150259067E-2</v>
      </c>
    </row>
    <row r="6" spans="1:12" x14ac:dyDescent="0.25">
      <c r="A6" s="1">
        <v>44748</v>
      </c>
      <c r="B6" s="1">
        <v>44746</v>
      </c>
      <c r="C6" s="1">
        <v>44743</v>
      </c>
      <c r="D6">
        <v>2022</v>
      </c>
      <c r="E6">
        <v>27</v>
      </c>
      <c r="F6">
        <v>2022</v>
      </c>
      <c r="G6">
        <v>7</v>
      </c>
      <c r="H6">
        <v>5</v>
      </c>
      <c r="I6">
        <f>VLOOKUP($B6,wau!$A:$D,4,0)</f>
        <v>59</v>
      </c>
      <c r="J6">
        <f>VLOOKUP($C6,mau!$A:$D,4,0)</f>
        <v>193</v>
      </c>
      <c r="K6" s="3">
        <f t="shared" si="0"/>
        <v>8.4745762711864403E-2</v>
      </c>
      <c r="L6" s="3">
        <f t="shared" si="1"/>
        <v>2.5906735751295335E-2</v>
      </c>
    </row>
    <row r="7" spans="1:12" x14ac:dyDescent="0.25">
      <c r="A7" s="1">
        <v>44749</v>
      </c>
      <c r="B7" s="1">
        <v>44746</v>
      </c>
      <c r="C7" s="1">
        <v>44743</v>
      </c>
      <c r="D7">
        <v>2022</v>
      </c>
      <c r="E7">
        <v>27</v>
      </c>
      <c r="F7">
        <v>2022</v>
      </c>
      <c r="G7">
        <v>7</v>
      </c>
      <c r="H7">
        <v>13</v>
      </c>
      <c r="I7">
        <f>VLOOKUP($B7,wau!$A:$D,4,0)</f>
        <v>59</v>
      </c>
      <c r="J7">
        <f>VLOOKUP($C7,mau!$A:$D,4,0)</f>
        <v>193</v>
      </c>
      <c r="K7" s="3">
        <f t="shared" si="0"/>
        <v>0.22033898305084745</v>
      </c>
      <c r="L7" s="3">
        <f t="shared" si="1"/>
        <v>6.7357512953367879E-2</v>
      </c>
    </row>
    <row r="8" spans="1:12" x14ac:dyDescent="0.25">
      <c r="A8" s="1">
        <v>44750</v>
      </c>
      <c r="B8" s="1">
        <v>44746</v>
      </c>
      <c r="C8" s="1">
        <v>44743</v>
      </c>
      <c r="D8">
        <v>2022</v>
      </c>
      <c r="E8">
        <v>27</v>
      </c>
      <c r="F8">
        <v>2022</v>
      </c>
      <c r="G8">
        <v>7</v>
      </c>
      <c r="H8">
        <v>22</v>
      </c>
      <c r="I8">
        <f>VLOOKUP($B8,wau!$A:$D,4,0)</f>
        <v>59</v>
      </c>
      <c r="J8">
        <f>VLOOKUP($C8,mau!$A:$D,4,0)</f>
        <v>193</v>
      </c>
      <c r="K8" s="3">
        <f t="shared" si="0"/>
        <v>0.3728813559322034</v>
      </c>
      <c r="L8" s="3">
        <f t="shared" si="1"/>
        <v>0.11398963730569948</v>
      </c>
    </row>
    <row r="9" spans="1:12" x14ac:dyDescent="0.25">
      <c r="A9" s="1">
        <v>44751</v>
      </c>
      <c r="B9" s="1">
        <v>44746</v>
      </c>
      <c r="C9" s="1">
        <v>44743</v>
      </c>
      <c r="D9">
        <v>2022</v>
      </c>
      <c r="E9">
        <v>27</v>
      </c>
      <c r="F9">
        <v>2022</v>
      </c>
      <c r="G9">
        <v>7</v>
      </c>
      <c r="H9">
        <v>22</v>
      </c>
      <c r="I9">
        <f>VLOOKUP($B9,wau!$A:$D,4,0)</f>
        <v>59</v>
      </c>
      <c r="J9">
        <f>VLOOKUP($C9,mau!$A:$D,4,0)</f>
        <v>193</v>
      </c>
      <c r="K9" s="3">
        <f t="shared" si="0"/>
        <v>0.3728813559322034</v>
      </c>
      <c r="L9" s="3">
        <f t="shared" si="1"/>
        <v>0.11398963730569948</v>
      </c>
    </row>
    <row r="10" spans="1:12" x14ac:dyDescent="0.25">
      <c r="A10" s="1">
        <v>44752</v>
      </c>
      <c r="B10" s="1">
        <v>44746</v>
      </c>
      <c r="C10" s="1">
        <v>44743</v>
      </c>
      <c r="D10">
        <v>2022</v>
      </c>
      <c r="E10">
        <v>27</v>
      </c>
      <c r="F10">
        <v>2022</v>
      </c>
      <c r="G10">
        <v>7</v>
      </c>
      <c r="H10">
        <v>26</v>
      </c>
      <c r="I10">
        <f>VLOOKUP($B10,wau!$A:$D,4,0)</f>
        <v>59</v>
      </c>
      <c r="J10">
        <f>VLOOKUP($C10,mau!$A:$D,4,0)</f>
        <v>193</v>
      </c>
      <c r="K10" s="3">
        <f t="shared" si="0"/>
        <v>0.44067796610169491</v>
      </c>
      <c r="L10" s="3">
        <f t="shared" si="1"/>
        <v>0.13471502590673576</v>
      </c>
    </row>
    <row r="11" spans="1:12" x14ac:dyDescent="0.25">
      <c r="A11" s="1">
        <v>44753</v>
      </c>
      <c r="B11" s="1">
        <v>44753</v>
      </c>
      <c r="C11" s="1">
        <v>44743</v>
      </c>
      <c r="D11">
        <v>2022</v>
      </c>
      <c r="E11">
        <v>28</v>
      </c>
      <c r="F11">
        <v>2022</v>
      </c>
      <c r="G11">
        <v>7</v>
      </c>
      <c r="H11">
        <v>23</v>
      </c>
      <c r="I11">
        <f>VLOOKUP($B11,wau!$A:$D,4,0)</f>
        <v>92</v>
      </c>
      <c r="J11">
        <f>VLOOKUP($C11,mau!$A:$D,4,0)</f>
        <v>193</v>
      </c>
      <c r="K11" s="3">
        <f t="shared" si="0"/>
        <v>0.25</v>
      </c>
      <c r="L11" s="3">
        <f t="shared" si="1"/>
        <v>0.11917098445595854</v>
      </c>
    </row>
    <row r="12" spans="1:12" x14ac:dyDescent="0.25">
      <c r="A12" s="1">
        <v>44754</v>
      </c>
      <c r="B12" s="1">
        <v>44753</v>
      </c>
      <c r="C12" s="1">
        <v>44743</v>
      </c>
      <c r="D12">
        <v>2022</v>
      </c>
      <c r="E12">
        <v>28</v>
      </c>
      <c r="F12">
        <v>2022</v>
      </c>
      <c r="G12">
        <v>7</v>
      </c>
      <c r="H12">
        <v>24</v>
      </c>
      <c r="I12">
        <f>VLOOKUP($B12,wau!$A:$D,4,0)</f>
        <v>92</v>
      </c>
      <c r="J12">
        <f>VLOOKUP($C12,mau!$A:$D,4,0)</f>
        <v>193</v>
      </c>
      <c r="K12" s="3">
        <f t="shared" si="0"/>
        <v>0.2608695652173913</v>
      </c>
      <c r="L12" s="3">
        <f t="shared" si="1"/>
        <v>0.12435233160621761</v>
      </c>
    </row>
    <row r="13" spans="1:12" x14ac:dyDescent="0.25">
      <c r="A13" s="1">
        <v>44755</v>
      </c>
      <c r="B13" s="1">
        <v>44753</v>
      </c>
      <c r="C13" s="1">
        <v>44743</v>
      </c>
      <c r="D13">
        <v>2022</v>
      </c>
      <c r="E13">
        <v>28</v>
      </c>
      <c r="F13">
        <v>2022</v>
      </c>
      <c r="G13">
        <v>7</v>
      </c>
      <c r="H13">
        <v>30</v>
      </c>
      <c r="I13">
        <f>VLOOKUP($B13,wau!$A:$D,4,0)</f>
        <v>92</v>
      </c>
      <c r="J13">
        <f>VLOOKUP($C13,mau!$A:$D,4,0)</f>
        <v>193</v>
      </c>
      <c r="K13" s="3">
        <f t="shared" si="0"/>
        <v>0.32608695652173914</v>
      </c>
      <c r="L13" s="3">
        <f t="shared" si="1"/>
        <v>0.15544041450777202</v>
      </c>
    </row>
    <row r="14" spans="1:12" x14ac:dyDescent="0.25">
      <c r="A14" s="1">
        <v>44756</v>
      </c>
      <c r="B14" s="1">
        <v>44753</v>
      </c>
      <c r="C14" s="1">
        <v>44743</v>
      </c>
      <c r="D14">
        <v>2022</v>
      </c>
      <c r="E14">
        <v>28</v>
      </c>
      <c r="F14">
        <v>2022</v>
      </c>
      <c r="G14">
        <v>7</v>
      </c>
      <c r="H14">
        <v>32</v>
      </c>
      <c r="I14">
        <f>VLOOKUP($B14,wau!$A:$D,4,0)</f>
        <v>92</v>
      </c>
      <c r="J14">
        <f>VLOOKUP($C14,mau!$A:$D,4,0)</f>
        <v>193</v>
      </c>
      <c r="K14" s="3">
        <f t="shared" si="0"/>
        <v>0.34782608695652173</v>
      </c>
      <c r="L14" s="3">
        <f t="shared" si="1"/>
        <v>0.16580310880829016</v>
      </c>
    </row>
    <row r="15" spans="1:12" x14ac:dyDescent="0.25">
      <c r="A15" s="1">
        <v>44757</v>
      </c>
      <c r="B15" s="1">
        <v>44753</v>
      </c>
      <c r="C15" s="1">
        <v>44743</v>
      </c>
      <c r="D15">
        <v>2022</v>
      </c>
      <c r="E15">
        <v>28</v>
      </c>
      <c r="F15">
        <v>2022</v>
      </c>
      <c r="G15">
        <v>7</v>
      </c>
      <c r="H15">
        <v>25</v>
      </c>
      <c r="I15">
        <f>VLOOKUP($B15,wau!$A:$D,4,0)</f>
        <v>92</v>
      </c>
      <c r="J15">
        <f>VLOOKUP($C15,mau!$A:$D,4,0)</f>
        <v>193</v>
      </c>
      <c r="K15" s="3">
        <f t="shared" si="0"/>
        <v>0.27173913043478259</v>
      </c>
      <c r="L15" s="3">
        <f t="shared" si="1"/>
        <v>0.12953367875647667</v>
      </c>
    </row>
    <row r="16" spans="1:12" x14ac:dyDescent="0.25">
      <c r="A16" s="1">
        <v>44758</v>
      </c>
      <c r="B16" s="1">
        <v>44753</v>
      </c>
      <c r="C16" s="1">
        <v>44743</v>
      </c>
      <c r="D16">
        <v>2022</v>
      </c>
      <c r="E16">
        <v>28</v>
      </c>
      <c r="F16">
        <v>2022</v>
      </c>
      <c r="G16">
        <v>7</v>
      </c>
      <c r="H16">
        <v>34</v>
      </c>
      <c r="I16">
        <f>VLOOKUP($B16,wau!$A:$D,4,0)</f>
        <v>92</v>
      </c>
      <c r="J16">
        <f>VLOOKUP($C16,mau!$A:$D,4,0)</f>
        <v>193</v>
      </c>
      <c r="K16" s="3">
        <f t="shared" si="0"/>
        <v>0.36956521739130432</v>
      </c>
      <c r="L16" s="3">
        <f t="shared" si="1"/>
        <v>0.17616580310880828</v>
      </c>
    </row>
    <row r="17" spans="1:12" x14ac:dyDescent="0.25">
      <c r="A17" s="1">
        <v>44759</v>
      </c>
      <c r="B17" s="1">
        <v>44753</v>
      </c>
      <c r="C17" s="1">
        <v>44743</v>
      </c>
      <c r="D17">
        <v>2022</v>
      </c>
      <c r="E17">
        <v>28</v>
      </c>
      <c r="F17">
        <v>2022</v>
      </c>
      <c r="G17">
        <v>7</v>
      </c>
      <c r="H17">
        <v>39</v>
      </c>
      <c r="I17">
        <f>VLOOKUP($B17,wau!$A:$D,4,0)</f>
        <v>92</v>
      </c>
      <c r="J17">
        <f>VLOOKUP($C17,mau!$A:$D,4,0)</f>
        <v>193</v>
      </c>
      <c r="K17" s="3">
        <f t="shared" si="0"/>
        <v>0.42391304347826086</v>
      </c>
      <c r="L17" s="3">
        <f t="shared" si="1"/>
        <v>0.20207253886010362</v>
      </c>
    </row>
    <row r="18" spans="1:12" x14ac:dyDescent="0.25">
      <c r="A18" s="1">
        <v>44760</v>
      </c>
      <c r="B18" s="1">
        <v>44760</v>
      </c>
      <c r="C18" s="1">
        <v>44743</v>
      </c>
      <c r="D18">
        <v>2022</v>
      </c>
      <c r="E18">
        <v>29</v>
      </c>
      <c r="F18">
        <v>2022</v>
      </c>
      <c r="G18">
        <v>7</v>
      </c>
      <c r="H18">
        <v>22</v>
      </c>
      <c r="I18">
        <f>VLOOKUP($B18,wau!$A:$D,4,0)</f>
        <v>133</v>
      </c>
      <c r="J18">
        <f>VLOOKUP($C18,mau!$A:$D,4,0)</f>
        <v>193</v>
      </c>
      <c r="K18" s="3">
        <f t="shared" si="0"/>
        <v>0.16541353383458646</v>
      </c>
      <c r="L18" s="3">
        <f t="shared" si="1"/>
        <v>0.11398963730569948</v>
      </c>
    </row>
    <row r="19" spans="1:12" x14ac:dyDescent="0.25">
      <c r="A19" s="1">
        <v>44761</v>
      </c>
      <c r="B19" s="1">
        <v>44760</v>
      </c>
      <c r="C19" s="1">
        <v>44743</v>
      </c>
      <c r="D19">
        <v>2022</v>
      </c>
      <c r="E19">
        <v>29</v>
      </c>
      <c r="F19">
        <v>2022</v>
      </c>
      <c r="G19">
        <v>7</v>
      </c>
      <c r="H19">
        <v>38</v>
      </c>
      <c r="I19">
        <f>VLOOKUP($B19,wau!$A:$D,4,0)</f>
        <v>133</v>
      </c>
      <c r="J19">
        <f>VLOOKUP($C19,mau!$A:$D,4,0)</f>
        <v>193</v>
      </c>
      <c r="K19" s="3">
        <f t="shared" si="0"/>
        <v>0.2857142857142857</v>
      </c>
      <c r="L19" s="3">
        <f t="shared" si="1"/>
        <v>0.19689119170984457</v>
      </c>
    </row>
    <row r="20" spans="1:12" x14ac:dyDescent="0.25">
      <c r="A20" s="1">
        <v>44762</v>
      </c>
      <c r="B20" s="1">
        <v>44760</v>
      </c>
      <c r="C20" s="1">
        <v>44743</v>
      </c>
      <c r="D20">
        <v>2022</v>
      </c>
      <c r="E20">
        <v>29</v>
      </c>
      <c r="F20">
        <v>2022</v>
      </c>
      <c r="G20">
        <v>7</v>
      </c>
      <c r="H20">
        <v>34</v>
      </c>
      <c r="I20">
        <f>VLOOKUP($B20,wau!$A:$D,4,0)</f>
        <v>133</v>
      </c>
      <c r="J20">
        <f>VLOOKUP($C20,mau!$A:$D,4,0)</f>
        <v>193</v>
      </c>
      <c r="K20" s="3">
        <f t="shared" si="0"/>
        <v>0.25563909774436089</v>
      </c>
      <c r="L20" s="3">
        <f t="shared" si="1"/>
        <v>0.17616580310880828</v>
      </c>
    </row>
    <row r="21" spans="1:12" x14ac:dyDescent="0.25">
      <c r="A21" s="1">
        <v>44763</v>
      </c>
      <c r="B21" s="1">
        <v>44760</v>
      </c>
      <c r="C21" s="1">
        <v>44743</v>
      </c>
      <c r="D21">
        <v>2022</v>
      </c>
      <c r="E21">
        <v>29</v>
      </c>
      <c r="F21">
        <v>2022</v>
      </c>
      <c r="G21">
        <v>7</v>
      </c>
      <c r="H21">
        <v>50</v>
      </c>
      <c r="I21">
        <f>VLOOKUP($B21,wau!$A:$D,4,0)</f>
        <v>133</v>
      </c>
      <c r="J21">
        <f>VLOOKUP($C21,mau!$A:$D,4,0)</f>
        <v>193</v>
      </c>
      <c r="K21" s="3">
        <f t="shared" si="0"/>
        <v>0.37593984962406013</v>
      </c>
      <c r="L21" s="3">
        <f t="shared" si="1"/>
        <v>0.25906735751295334</v>
      </c>
    </row>
    <row r="22" spans="1:12" x14ac:dyDescent="0.25">
      <c r="A22" s="1">
        <v>44764</v>
      </c>
      <c r="B22" s="1">
        <v>44760</v>
      </c>
      <c r="C22" s="1">
        <v>44743</v>
      </c>
      <c r="D22">
        <v>2022</v>
      </c>
      <c r="E22">
        <v>29</v>
      </c>
      <c r="F22">
        <v>2022</v>
      </c>
      <c r="G22">
        <v>7</v>
      </c>
      <c r="H22">
        <v>43</v>
      </c>
      <c r="I22">
        <f>VLOOKUP($B22,wau!$A:$D,4,0)</f>
        <v>133</v>
      </c>
      <c r="J22">
        <f>VLOOKUP($C22,mau!$A:$D,4,0)</f>
        <v>193</v>
      </c>
      <c r="K22" s="3">
        <f t="shared" si="0"/>
        <v>0.32330827067669171</v>
      </c>
      <c r="L22" s="3">
        <f t="shared" si="1"/>
        <v>0.22279792746113988</v>
      </c>
    </row>
    <row r="23" spans="1:12" x14ac:dyDescent="0.25">
      <c r="A23" s="1">
        <v>44765</v>
      </c>
      <c r="B23" s="1">
        <v>44760</v>
      </c>
      <c r="C23" s="1">
        <v>44743</v>
      </c>
      <c r="D23">
        <v>2022</v>
      </c>
      <c r="E23">
        <v>29</v>
      </c>
      <c r="F23">
        <v>2022</v>
      </c>
      <c r="G23">
        <v>7</v>
      </c>
      <c r="H23">
        <v>43</v>
      </c>
      <c r="I23">
        <f>VLOOKUP($B23,wau!$A:$D,4,0)</f>
        <v>133</v>
      </c>
      <c r="J23">
        <f>VLOOKUP($C23,mau!$A:$D,4,0)</f>
        <v>193</v>
      </c>
      <c r="K23" s="3">
        <f t="shared" si="0"/>
        <v>0.32330827067669171</v>
      </c>
      <c r="L23" s="3">
        <f t="shared" si="1"/>
        <v>0.22279792746113988</v>
      </c>
    </row>
    <row r="24" spans="1:12" x14ac:dyDescent="0.25">
      <c r="A24" s="1">
        <v>44766</v>
      </c>
      <c r="B24" s="1">
        <v>44760</v>
      </c>
      <c r="C24" s="1">
        <v>44743</v>
      </c>
      <c r="D24">
        <v>2022</v>
      </c>
      <c r="E24">
        <v>29</v>
      </c>
      <c r="F24">
        <v>2022</v>
      </c>
      <c r="G24">
        <v>7</v>
      </c>
      <c r="H24">
        <v>53</v>
      </c>
      <c r="I24">
        <f>VLOOKUP($B24,wau!$A:$D,4,0)</f>
        <v>133</v>
      </c>
      <c r="J24">
        <f>VLOOKUP($C24,mau!$A:$D,4,0)</f>
        <v>193</v>
      </c>
      <c r="K24" s="3">
        <f t="shared" si="0"/>
        <v>0.39849624060150374</v>
      </c>
      <c r="L24" s="3">
        <f t="shared" si="1"/>
        <v>0.27461139896373055</v>
      </c>
    </row>
    <row r="25" spans="1:12" x14ac:dyDescent="0.25">
      <c r="A25" s="1">
        <v>44767</v>
      </c>
      <c r="B25" s="1">
        <v>44767</v>
      </c>
      <c r="C25" s="1">
        <v>44743</v>
      </c>
      <c r="D25">
        <v>2022</v>
      </c>
      <c r="E25">
        <v>30</v>
      </c>
      <c r="F25">
        <v>2022</v>
      </c>
      <c r="G25">
        <v>7</v>
      </c>
      <c r="H25">
        <v>63</v>
      </c>
      <c r="I25">
        <f>VLOOKUP($B25,wau!$A:$D,4,0)</f>
        <v>183</v>
      </c>
      <c r="J25">
        <f>VLOOKUP($C25,mau!$A:$D,4,0)</f>
        <v>193</v>
      </c>
      <c r="K25" s="3">
        <f t="shared" si="0"/>
        <v>0.34426229508196721</v>
      </c>
      <c r="L25" s="3">
        <f t="shared" si="1"/>
        <v>0.32642487046632124</v>
      </c>
    </row>
    <row r="26" spans="1:12" x14ac:dyDescent="0.25">
      <c r="A26" s="1">
        <v>44768</v>
      </c>
      <c r="B26" s="1">
        <v>44767</v>
      </c>
      <c r="C26" s="1">
        <v>44743</v>
      </c>
      <c r="D26">
        <v>2022</v>
      </c>
      <c r="E26">
        <v>30</v>
      </c>
      <c r="F26">
        <v>2022</v>
      </c>
      <c r="G26">
        <v>7</v>
      </c>
      <c r="H26">
        <v>48</v>
      </c>
      <c r="I26">
        <f>VLOOKUP($B26,wau!$A:$D,4,0)</f>
        <v>183</v>
      </c>
      <c r="J26">
        <f>VLOOKUP($C26,mau!$A:$D,4,0)</f>
        <v>193</v>
      </c>
      <c r="K26" s="3">
        <f t="shared" si="0"/>
        <v>0.26229508196721313</v>
      </c>
      <c r="L26" s="3">
        <f t="shared" si="1"/>
        <v>0.24870466321243523</v>
      </c>
    </row>
    <row r="27" spans="1:12" x14ac:dyDescent="0.25">
      <c r="A27" s="1">
        <v>44769</v>
      </c>
      <c r="B27" s="1">
        <v>44767</v>
      </c>
      <c r="C27" s="1">
        <v>44743</v>
      </c>
      <c r="D27">
        <v>2022</v>
      </c>
      <c r="E27">
        <v>30</v>
      </c>
      <c r="F27">
        <v>2022</v>
      </c>
      <c r="G27">
        <v>7</v>
      </c>
      <c r="H27">
        <v>59</v>
      </c>
      <c r="I27">
        <f>VLOOKUP($B27,wau!$A:$D,4,0)</f>
        <v>183</v>
      </c>
      <c r="J27">
        <f>VLOOKUP($C27,mau!$A:$D,4,0)</f>
        <v>193</v>
      </c>
      <c r="K27" s="3">
        <f t="shared" si="0"/>
        <v>0.32240437158469948</v>
      </c>
      <c r="L27" s="3">
        <f t="shared" si="1"/>
        <v>0.30569948186528495</v>
      </c>
    </row>
    <row r="28" spans="1:12" x14ac:dyDescent="0.25">
      <c r="A28" s="1">
        <v>44770</v>
      </c>
      <c r="B28" s="1">
        <v>44767</v>
      </c>
      <c r="C28" s="1">
        <v>44743</v>
      </c>
      <c r="D28">
        <v>2022</v>
      </c>
      <c r="E28">
        <v>30</v>
      </c>
      <c r="F28">
        <v>2022</v>
      </c>
      <c r="G28">
        <v>7</v>
      </c>
      <c r="H28">
        <v>59</v>
      </c>
      <c r="I28">
        <f>VLOOKUP($B28,wau!$A:$D,4,0)</f>
        <v>183</v>
      </c>
      <c r="J28">
        <f>VLOOKUP($C28,mau!$A:$D,4,0)</f>
        <v>193</v>
      </c>
      <c r="K28" s="3">
        <f t="shared" si="0"/>
        <v>0.32240437158469948</v>
      </c>
      <c r="L28" s="3">
        <f t="shared" si="1"/>
        <v>0.30569948186528495</v>
      </c>
    </row>
    <row r="29" spans="1:12" x14ac:dyDescent="0.25">
      <c r="A29" s="1">
        <v>44771</v>
      </c>
      <c r="B29" s="1">
        <v>44767</v>
      </c>
      <c r="C29" s="1">
        <v>44743</v>
      </c>
      <c r="D29">
        <v>2022</v>
      </c>
      <c r="E29">
        <v>30</v>
      </c>
      <c r="F29">
        <v>2022</v>
      </c>
      <c r="G29">
        <v>7</v>
      </c>
      <c r="H29">
        <v>61</v>
      </c>
      <c r="I29">
        <f>VLOOKUP($B29,wau!$A:$D,4,0)</f>
        <v>183</v>
      </c>
      <c r="J29">
        <f>VLOOKUP($C29,mau!$A:$D,4,0)</f>
        <v>193</v>
      </c>
      <c r="K29" s="3">
        <f t="shared" si="0"/>
        <v>0.33333333333333331</v>
      </c>
      <c r="L29" s="3">
        <f t="shared" si="1"/>
        <v>0.31606217616580312</v>
      </c>
    </row>
    <row r="30" spans="1:12" x14ac:dyDescent="0.25">
      <c r="A30" s="1">
        <v>44772</v>
      </c>
      <c r="B30" s="1">
        <v>44767</v>
      </c>
      <c r="C30" s="1">
        <v>44743</v>
      </c>
      <c r="D30">
        <v>2022</v>
      </c>
      <c r="E30">
        <v>30</v>
      </c>
      <c r="F30">
        <v>2022</v>
      </c>
      <c r="G30">
        <v>7</v>
      </c>
      <c r="H30">
        <v>64</v>
      </c>
      <c r="I30">
        <f>VLOOKUP($B30,wau!$A:$D,4,0)</f>
        <v>183</v>
      </c>
      <c r="J30">
        <f>VLOOKUP($C30,mau!$A:$D,4,0)</f>
        <v>193</v>
      </c>
      <c r="K30" s="3">
        <f t="shared" si="0"/>
        <v>0.34972677595628415</v>
      </c>
      <c r="L30" s="3">
        <f t="shared" si="1"/>
        <v>0.33160621761658032</v>
      </c>
    </row>
    <row r="31" spans="1:12" x14ac:dyDescent="0.25">
      <c r="A31" s="1">
        <v>44773</v>
      </c>
      <c r="B31" s="1">
        <v>44767</v>
      </c>
      <c r="C31" s="1">
        <v>44743</v>
      </c>
      <c r="D31">
        <v>2022</v>
      </c>
      <c r="E31">
        <v>30</v>
      </c>
      <c r="F31">
        <v>2022</v>
      </c>
      <c r="G31">
        <v>7</v>
      </c>
      <c r="H31">
        <v>64</v>
      </c>
      <c r="I31">
        <f>VLOOKUP($B31,wau!$A:$D,4,0)</f>
        <v>183</v>
      </c>
      <c r="J31">
        <f>VLOOKUP($C31,mau!$A:$D,4,0)</f>
        <v>193</v>
      </c>
      <c r="K31" s="3">
        <f t="shared" si="0"/>
        <v>0.34972677595628415</v>
      </c>
      <c r="L31" s="3">
        <f t="shared" si="1"/>
        <v>0.33160621761658032</v>
      </c>
    </row>
    <row r="32" spans="1:12" x14ac:dyDescent="0.25">
      <c r="A32" s="1">
        <v>44774</v>
      </c>
      <c r="B32" s="1">
        <v>44774</v>
      </c>
      <c r="C32" s="1">
        <v>44774</v>
      </c>
      <c r="D32">
        <v>2022</v>
      </c>
      <c r="E32">
        <v>31</v>
      </c>
      <c r="F32">
        <v>2022</v>
      </c>
      <c r="G32">
        <v>8</v>
      </c>
      <c r="H32">
        <v>52</v>
      </c>
      <c r="I32">
        <f>VLOOKUP($B32,wau!$A:$D,4,0)</f>
        <v>202</v>
      </c>
      <c r="J32">
        <f>VLOOKUP($C32,mau!$A:$D,4,0)</f>
        <v>366</v>
      </c>
      <c r="K32" s="3">
        <f t="shared" si="0"/>
        <v>0.25742574257425743</v>
      </c>
      <c r="L32" s="3">
        <f t="shared" si="1"/>
        <v>0.14207650273224043</v>
      </c>
    </row>
    <row r="33" spans="1:12" x14ac:dyDescent="0.25">
      <c r="A33" s="1">
        <v>44775</v>
      </c>
      <c r="B33" s="1">
        <v>44774</v>
      </c>
      <c r="C33" s="1">
        <v>44774</v>
      </c>
      <c r="D33">
        <v>2022</v>
      </c>
      <c r="E33">
        <v>31</v>
      </c>
      <c r="F33">
        <v>2022</v>
      </c>
      <c r="G33">
        <v>8</v>
      </c>
      <c r="H33">
        <v>62</v>
      </c>
      <c r="I33">
        <f>VLOOKUP($B33,wau!$A:$D,4,0)</f>
        <v>202</v>
      </c>
      <c r="J33">
        <f>VLOOKUP($C33,mau!$A:$D,4,0)</f>
        <v>366</v>
      </c>
      <c r="K33" s="3">
        <f t="shared" si="0"/>
        <v>0.30693069306930693</v>
      </c>
      <c r="L33" s="3">
        <f t="shared" si="1"/>
        <v>0.16939890710382513</v>
      </c>
    </row>
    <row r="34" spans="1:12" x14ac:dyDescent="0.25">
      <c r="A34" s="1">
        <v>44776</v>
      </c>
      <c r="B34" s="1">
        <v>44774</v>
      </c>
      <c r="C34" s="1">
        <v>44774</v>
      </c>
      <c r="D34">
        <v>2022</v>
      </c>
      <c r="E34">
        <v>31</v>
      </c>
      <c r="F34">
        <v>2022</v>
      </c>
      <c r="G34">
        <v>8</v>
      </c>
      <c r="H34">
        <v>55</v>
      </c>
      <c r="I34">
        <f>VLOOKUP($B34,wau!$A:$D,4,0)</f>
        <v>202</v>
      </c>
      <c r="J34">
        <f>VLOOKUP($C34,mau!$A:$D,4,0)</f>
        <v>366</v>
      </c>
      <c r="K34" s="3">
        <f t="shared" si="0"/>
        <v>0.2722772277227723</v>
      </c>
      <c r="L34" s="3">
        <f t="shared" si="1"/>
        <v>0.15027322404371585</v>
      </c>
    </row>
    <row r="35" spans="1:12" x14ac:dyDescent="0.25">
      <c r="A35" s="1">
        <v>44777</v>
      </c>
      <c r="B35" s="1">
        <v>44774</v>
      </c>
      <c r="C35" s="1">
        <v>44774</v>
      </c>
      <c r="D35">
        <v>2022</v>
      </c>
      <c r="E35">
        <v>31</v>
      </c>
      <c r="F35">
        <v>2022</v>
      </c>
      <c r="G35">
        <v>8</v>
      </c>
      <c r="H35">
        <v>60</v>
      </c>
      <c r="I35">
        <f>VLOOKUP($B35,wau!$A:$D,4,0)</f>
        <v>202</v>
      </c>
      <c r="J35">
        <f>VLOOKUP($C35,mau!$A:$D,4,0)</f>
        <v>366</v>
      </c>
      <c r="K35" s="3">
        <f t="shared" si="0"/>
        <v>0.29702970297029702</v>
      </c>
      <c r="L35" s="3">
        <f t="shared" si="1"/>
        <v>0.16393442622950818</v>
      </c>
    </row>
    <row r="36" spans="1:12" x14ac:dyDescent="0.25">
      <c r="A36" s="1">
        <v>44778</v>
      </c>
      <c r="B36" s="1">
        <v>44774</v>
      </c>
      <c r="C36" s="1">
        <v>44774</v>
      </c>
      <c r="D36">
        <v>2022</v>
      </c>
      <c r="E36">
        <v>31</v>
      </c>
      <c r="F36">
        <v>2022</v>
      </c>
      <c r="G36">
        <v>8</v>
      </c>
      <c r="H36">
        <v>52</v>
      </c>
      <c r="I36">
        <f>VLOOKUP($B36,wau!$A:$D,4,0)</f>
        <v>202</v>
      </c>
      <c r="J36">
        <f>VLOOKUP($C36,mau!$A:$D,4,0)</f>
        <v>366</v>
      </c>
      <c r="K36" s="3">
        <f t="shared" si="0"/>
        <v>0.25742574257425743</v>
      </c>
      <c r="L36" s="3">
        <f t="shared" si="1"/>
        <v>0.14207650273224043</v>
      </c>
    </row>
    <row r="37" spans="1:12" x14ac:dyDescent="0.25">
      <c r="A37" s="1">
        <v>44779</v>
      </c>
      <c r="B37" s="1">
        <v>44774</v>
      </c>
      <c r="C37" s="1">
        <v>44774</v>
      </c>
      <c r="D37">
        <v>2022</v>
      </c>
      <c r="E37">
        <v>31</v>
      </c>
      <c r="F37">
        <v>2022</v>
      </c>
      <c r="G37">
        <v>8</v>
      </c>
      <c r="H37">
        <v>62</v>
      </c>
      <c r="I37">
        <f>VLOOKUP($B37,wau!$A:$D,4,0)</f>
        <v>202</v>
      </c>
      <c r="J37">
        <f>VLOOKUP($C37,mau!$A:$D,4,0)</f>
        <v>366</v>
      </c>
      <c r="K37" s="3">
        <f t="shared" si="0"/>
        <v>0.30693069306930693</v>
      </c>
      <c r="L37" s="3">
        <f t="shared" si="1"/>
        <v>0.16939890710382513</v>
      </c>
    </row>
    <row r="38" spans="1:12" x14ac:dyDescent="0.25">
      <c r="A38" s="1">
        <v>44780</v>
      </c>
      <c r="B38" s="1">
        <v>44774</v>
      </c>
      <c r="C38" s="1">
        <v>44774</v>
      </c>
      <c r="D38">
        <v>2022</v>
      </c>
      <c r="E38">
        <v>31</v>
      </c>
      <c r="F38">
        <v>2022</v>
      </c>
      <c r="G38">
        <v>8</v>
      </c>
      <c r="H38">
        <v>59</v>
      </c>
      <c r="I38">
        <f>VLOOKUP($B38,wau!$A:$D,4,0)</f>
        <v>202</v>
      </c>
      <c r="J38">
        <f>VLOOKUP($C38,mau!$A:$D,4,0)</f>
        <v>366</v>
      </c>
      <c r="K38" s="3">
        <f t="shared" si="0"/>
        <v>0.29207920792079206</v>
      </c>
      <c r="L38" s="3">
        <f t="shared" si="1"/>
        <v>0.16120218579234974</v>
      </c>
    </row>
    <row r="39" spans="1:12" x14ac:dyDescent="0.25">
      <c r="A39" s="1">
        <v>44781</v>
      </c>
      <c r="B39" s="1">
        <v>44781</v>
      </c>
      <c r="C39" s="1">
        <v>44774</v>
      </c>
      <c r="D39">
        <v>2022</v>
      </c>
      <c r="E39">
        <v>32</v>
      </c>
      <c r="F39">
        <v>2022</v>
      </c>
      <c r="G39">
        <v>8</v>
      </c>
      <c r="H39">
        <v>58</v>
      </c>
      <c r="I39">
        <f>VLOOKUP($B39,wau!$A:$D,4,0)</f>
        <v>193</v>
      </c>
      <c r="J39">
        <f>VLOOKUP($C39,mau!$A:$D,4,0)</f>
        <v>366</v>
      </c>
      <c r="K39" s="3">
        <f t="shared" si="0"/>
        <v>0.30051813471502592</v>
      </c>
      <c r="L39" s="3">
        <f t="shared" si="1"/>
        <v>0.15846994535519127</v>
      </c>
    </row>
    <row r="40" spans="1:12" x14ac:dyDescent="0.25">
      <c r="A40" s="1">
        <v>44782</v>
      </c>
      <c r="B40" s="1">
        <v>44781</v>
      </c>
      <c r="C40" s="1">
        <v>44774</v>
      </c>
      <c r="D40">
        <v>2022</v>
      </c>
      <c r="E40">
        <v>32</v>
      </c>
      <c r="F40">
        <v>2022</v>
      </c>
      <c r="G40">
        <v>8</v>
      </c>
      <c r="H40">
        <v>53</v>
      </c>
      <c r="I40">
        <f>VLOOKUP($B40,wau!$A:$D,4,0)</f>
        <v>193</v>
      </c>
      <c r="J40">
        <f>VLOOKUP($C40,mau!$A:$D,4,0)</f>
        <v>366</v>
      </c>
      <c r="K40" s="3">
        <f t="shared" si="0"/>
        <v>0.27461139896373055</v>
      </c>
      <c r="L40" s="3">
        <f t="shared" si="1"/>
        <v>0.1448087431693989</v>
      </c>
    </row>
    <row r="41" spans="1:12" x14ac:dyDescent="0.25">
      <c r="A41" s="1">
        <v>44783</v>
      </c>
      <c r="B41" s="1">
        <v>44781</v>
      </c>
      <c r="C41" s="1">
        <v>44774</v>
      </c>
      <c r="D41">
        <v>2022</v>
      </c>
      <c r="E41">
        <v>32</v>
      </c>
      <c r="F41">
        <v>2022</v>
      </c>
      <c r="G41">
        <v>8</v>
      </c>
      <c r="H41">
        <v>55</v>
      </c>
      <c r="I41">
        <f>VLOOKUP($B41,wau!$A:$D,4,0)</f>
        <v>193</v>
      </c>
      <c r="J41">
        <f>VLOOKUP($C41,mau!$A:$D,4,0)</f>
        <v>366</v>
      </c>
      <c r="K41" s="3">
        <f t="shared" si="0"/>
        <v>0.28497409326424872</v>
      </c>
      <c r="L41" s="3">
        <f t="shared" si="1"/>
        <v>0.15027322404371585</v>
      </c>
    </row>
    <row r="42" spans="1:12" x14ac:dyDescent="0.25">
      <c r="A42" s="1">
        <v>44784</v>
      </c>
      <c r="B42" s="1">
        <v>44781</v>
      </c>
      <c r="C42" s="1">
        <v>44774</v>
      </c>
      <c r="D42">
        <v>2022</v>
      </c>
      <c r="E42">
        <v>32</v>
      </c>
      <c r="F42">
        <v>2022</v>
      </c>
      <c r="G42">
        <v>8</v>
      </c>
      <c r="H42">
        <v>65</v>
      </c>
      <c r="I42">
        <f>VLOOKUP($B42,wau!$A:$D,4,0)</f>
        <v>193</v>
      </c>
      <c r="J42">
        <f>VLOOKUP($C42,mau!$A:$D,4,0)</f>
        <v>366</v>
      </c>
      <c r="K42" s="3">
        <f t="shared" si="0"/>
        <v>0.33678756476683935</v>
      </c>
      <c r="L42" s="3">
        <f t="shared" si="1"/>
        <v>0.17759562841530055</v>
      </c>
    </row>
    <row r="43" spans="1:12" x14ac:dyDescent="0.25">
      <c r="A43" s="1">
        <v>44785</v>
      </c>
      <c r="B43" s="1">
        <v>44781</v>
      </c>
      <c r="C43" s="1">
        <v>44774</v>
      </c>
      <c r="D43">
        <v>2022</v>
      </c>
      <c r="E43">
        <v>32</v>
      </c>
      <c r="F43">
        <v>2022</v>
      </c>
      <c r="G43">
        <v>8</v>
      </c>
      <c r="H43">
        <v>54</v>
      </c>
      <c r="I43">
        <f>VLOOKUP($B43,wau!$A:$D,4,0)</f>
        <v>193</v>
      </c>
      <c r="J43">
        <f>VLOOKUP($C43,mau!$A:$D,4,0)</f>
        <v>366</v>
      </c>
      <c r="K43" s="3">
        <f t="shared" si="0"/>
        <v>0.27979274611398963</v>
      </c>
      <c r="L43" s="3">
        <f t="shared" si="1"/>
        <v>0.14754098360655737</v>
      </c>
    </row>
    <row r="44" spans="1:12" x14ac:dyDescent="0.25">
      <c r="A44" s="1">
        <v>44786</v>
      </c>
      <c r="B44" s="1">
        <v>44781</v>
      </c>
      <c r="C44" s="1">
        <v>44774</v>
      </c>
      <c r="D44">
        <v>2022</v>
      </c>
      <c r="E44">
        <v>32</v>
      </c>
      <c r="F44">
        <v>2022</v>
      </c>
      <c r="G44">
        <v>8</v>
      </c>
      <c r="H44">
        <v>74</v>
      </c>
      <c r="I44">
        <f>VLOOKUP($B44,wau!$A:$D,4,0)</f>
        <v>193</v>
      </c>
      <c r="J44">
        <f>VLOOKUP($C44,mau!$A:$D,4,0)</f>
        <v>366</v>
      </c>
      <c r="K44" s="3">
        <f t="shared" si="0"/>
        <v>0.38341968911917096</v>
      </c>
      <c r="L44" s="3">
        <f t="shared" si="1"/>
        <v>0.20218579234972678</v>
      </c>
    </row>
    <row r="45" spans="1:12" x14ac:dyDescent="0.25">
      <c r="A45" s="1">
        <v>44787</v>
      </c>
      <c r="B45" s="1">
        <v>44781</v>
      </c>
      <c r="C45" s="1">
        <v>44774</v>
      </c>
      <c r="D45">
        <v>2022</v>
      </c>
      <c r="E45">
        <v>32</v>
      </c>
      <c r="F45">
        <v>2022</v>
      </c>
      <c r="G45">
        <v>8</v>
      </c>
      <c r="H45">
        <v>59</v>
      </c>
      <c r="I45">
        <f>VLOOKUP($B45,wau!$A:$D,4,0)</f>
        <v>193</v>
      </c>
      <c r="J45">
        <f>VLOOKUP($C45,mau!$A:$D,4,0)</f>
        <v>366</v>
      </c>
      <c r="K45" s="3">
        <f t="shared" si="0"/>
        <v>0.30569948186528495</v>
      </c>
      <c r="L45" s="3">
        <f t="shared" si="1"/>
        <v>0.16120218579234974</v>
      </c>
    </row>
    <row r="46" spans="1:12" x14ac:dyDescent="0.25">
      <c r="A46" s="1">
        <v>44788</v>
      </c>
      <c r="B46" s="1">
        <v>44788</v>
      </c>
      <c r="C46" s="1">
        <v>44774</v>
      </c>
      <c r="D46">
        <v>2022</v>
      </c>
      <c r="E46">
        <v>33</v>
      </c>
      <c r="F46">
        <v>2022</v>
      </c>
      <c r="G46">
        <v>8</v>
      </c>
      <c r="H46">
        <v>54</v>
      </c>
      <c r="I46">
        <f>VLOOKUP($B46,wau!$A:$D,4,0)</f>
        <v>201</v>
      </c>
      <c r="J46">
        <f>VLOOKUP($C46,mau!$A:$D,4,0)</f>
        <v>366</v>
      </c>
      <c r="K46" s="3">
        <f t="shared" si="0"/>
        <v>0.26865671641791045</v>
      </c>
      <c r="L46" s="3">
        <f t="shared" si="1"/>
        <v>0.14754098360655737</v>
      </c>
    </row>
    <row r="47" spans="1:12" x14ac:dyDescent="0.25">
      <c r="A47" s="1">
        <v>44789</v>
      </c>
      <c r="B47" s="1">
        <v>44788</v>
      </c>
      <c r="C47" s="1">
        <v>44774</v>
      </c>
      <c r="D47">
        <v>2022</v>
      </c>
      <c r="E47">
        <v>33</v>
      </c>
      <c r="F47">
        <v>2022</v>
      </c>
      <c r="G47">
        <v>8</v>
      </c>
      <c r="H47">
        <v>68</v>
      </c>
      <c r="I47">
        <f>VLOOKUP($B47,wau!$A:$D,4,0)</f>
        <v>201</v>
      </c>
      <c r="J47">
        <f>VLOOKUP($C47,mau!$A:$D,4,0)</f>
        <v>366</v>
      </c>
      <c r="K47" s="3">
        <f t="shared" si="0"/>
        <v>0.3383084577114428</v>
      </c>
      <c r="L47" s="3">
        <f t="shared" si="1"/>
        <v>0.18579234972677597</v>
      </c>
    </row>
    <row r="48" spans="1:12" x14ac:dyDescent="0.25">
      <c r="A48" s="1">
        <v>44790</v>
      </c>
      <c r="B48" s="1">
        <v>44788</v>
      </c>
      <c r="C48" s="1">
        <v>44774</v>
      </c>
      <c r="D48">
        <v>2022</v>
      </c>
      <c r="E48">
        <v>33</v>
      </c>
      <c r="F48">
        <v>2022</v>
      </c>
      <c r="G48">
        <v>8</v>
      </c>
      <c r="H48">
        <v>59</v>
      </c>
      <c r="I48">
        <f>VLOOKUP($B48,wau!$A:$D,4,0)</f>
        <v>201</v>
      </c>
      <c r="J48">
        <f>VLOOKUP($C48,mau!$A:$D,4,0)</f>
        <v>366</v>
      </c>
      <c r="K48" s="3">
        <f t="shared" si="0"/>
        <v>0.29353233830845771</v>
      </c>
      <c r="L48" s="3">
        <f t="shared" si="1"/>
        <v>0.16120218579234974</v>
      </c>
    </row>
    <row r="49" spans="1:12" x14ac:dyDescent="0.25">
      <c r="A49" s="1">
        <v>44791</v>
      </c>
      <c r="B49" s="1">
        <v>44788</v>
      </c>
      <c r="C49" s="1">
        <v>44774</v>
      </c>
      <c r="D49">
        <v>2022</v>
      </c>
      <c r="E49">
        <v>33</v>
      </c>
      <c r="F49">
        <v>2022</v>
      </c>
      <c r="G49">
        <v>8</v>
      </c>
      <c r="H49">
        <v>61</v>
      </c>
      <c r="I49">
        <f>VLOOKUP($B49,wau!$A:$D,4,0)</f>
        <v>201</v>
      </c>
      <c r="J49">
        <f>VLOOKUP($C49,mau!$A:$D,4,0)</f>
        <v>366</v>
      </c>
      <c r="K49" s="3">
        <f t="shared" si="0"/>
        <v>0.30348258706467662</v>
      </c>
      <c r="L49" s="3">
        <f t="shared" si="1"/>
        <v>0.16666666666666666</v>
      </c>
    </row>
    <row r="50" spans="1:12" x14ac:dyDescent="0.25">
      <c r="A50" s="1">
        <v>44792</v>
      </c>
      <c r="B50" s="1">
        <v>44788</v>
      </c>
      <c r="C50" s="1">
        <v>44774</v>
      </c>
      <c r="D50">
        <v>2022</v>
      </c>
      <c r="E50">
        <v>33</v>
      </c>
      <c r="F50">
        <v>2022</v>
      </c>
      <c r="G50">
        <v>8</v>
      </c>
      <c r="H50">
        <v>58</v>
      </c>
      <c r="I50">
        <f>VLOOKUP($B50,wau!$A:$D,4,0)</f>
        <v>201</v>
      </c>
      <c r="J50">
        <f>VLOOKUP($C50,mau!$A:$D,4,0)</f>
        <v>366</v>
      </c>
      <c r="K50" s="3">
        <f t="shared" si="0"/>
        <v>0.28855721393034828</v>
      </c>
      <c r="L50" s="3">
        <f t="shared" si="1"/>
        <v>0.15846994535519127</v>
      </c>
    </row>
    <row r="51" spans="1:12" x14ac:dyDescent="0.25">
      <c r="A51" s="1">
        <v>44793</v>
      </c>
      <c r="B51" s="1">
        <v>44788</v>
      </c>
      <c r="C51" s="1">
        <v>44774</v>
      </c>
      <c r="D51">
        <v>2022</v>
      </c>
      <c r="E51">
        <v>33</v>
      </c>
      <c r="F51">
        <v>2022</v>
      </c>
      <c r="G51">
        <v>8</v>
      </c>
      <c r="H51">
        <v>67</v>
      </c>
      <c r="I51">
        <f>VLOOKUP($B51,wau!$A:$D,4,0)</f>
        <v>201</v>
      </c>
      <c r="J51">
        <f>VLOOKUP($C51,mau!$A:$D,4,0)</f>
        <v>366</v>
      </c>
      <c r="K51" s="3">
        <f t="shared" si="0"/>
        <v>0.33333333333333331</v>
      </c>
      <c r="L51" s="3">
        <f t="shared" si="1"/>
        <v>0.1830601092896175</v>
      </c>
    </row>
    <row r="52" spans="1:12" x14ac:dyDescent="0.25">
      <c r="A52" s="1">
        <v>44794</v>
      </c>
      <c r="B52" s="1">
        <v>44788</v>
      </c>
      <c r="C52" s="1">
        <v>44774</v>
      </c>
      <c r="D52">
        <v>2022</v>
      </c>
      <c r="E52">
        <v>33</v>
      </c>
      <c r="F52">
        <v>2022</v>
      </c>
      <c r="G52">
        <v>8</v>
      </c>
      <c r="H52">
        <v>62</v>
      </c>
      <c r="I52">
        <f>VLOOKUP($B52,wau!$A:$D,4,0)</f>
        <v>201</v>
      </c>
      <c r="J52">
        <f>VLOOKUP($C52,mau!$A:$D,4,0)</f>
        <v>366</v>
      </c>
      <c r="K52" s="3">
        <f t="shared" si="0"/>
        <v>0.30845771144278605</v>
      </c>
      <c r="L52" s="3">
        <f t="shared" si="1"/>
        <v>0.16939890710382513</v>
      </c>
    </row>
    <row r="53" spans="1:12" x14ac:dyDescent="0.25">
      <c r="A53" s="1">
        <v>44795</v>
      </c>
      <c r="B53" s="1">
        <v>44795</v>
      </c>
      <c r="C53" s="1">
        <v>44774</v>
      </c>
      <c r="D53">
        <v>2022</v>
      </c>
      <c r="E53">
        <v>34</v>
      </c>
      <c r="F53">
        <v>2022</v>
      </c>
      <c r="G53">
        <v>8</v>
      </c>
      <c r="H53">
        <v>53</v>
      </c>
      <c r="I53">
        <f>VLOOKUP($B53,wau!$A:$D,4,0)</f>
        <v>206</v>
      </c>
      <c r="J53">
        <f>VLOOKUP($C53,mau!$A:$D,4,0)</f>
        <v>366</v>
      </c>
      <c r="K53" s="3">
        <f t="shared" si="0"/>
        <v>0.25728155339805825</v>
      </c>
      <c r="L53" s="3">
        <f t="shared" si="1"/>
        <v>0.1448087431693989</v>
      </c>
    </row>
    <row r="54" spans="1:12" x14ac:dyDescent="0.25">
      <c r="A54" s="1">
        <v>44796</v>
      </c>
      <c r="B54" s="1">
        <v>44795</v>
      </c>
      <c r="C54" s="1">
        <v>44774</v>
      </c>
      <c r="D54">
        <v>2022</v>
      </c>
      <c r="E54">
        <v>34</v>
      </c>
      <c r="F54">
        <v>2022</v>
      </c>
      <c r="G54">
        <v>8</v>
      </c>
      <c r="H54">
        <v>60</v>
      </c>
      <c r="I54">
        <f>VLOOKUP($B54,wau!$A:$D,4,0)</f>
        <v>206</v>
      </c>
      <c r="J54">
        <f>VLOOKUP($C54,mau!$A:$D,4,0)</f>
        <v>366</v>
      </c>
      <c r="K54" s="3">
        <f t="shared" si="0"/>
        <v>0.29126213592233008</v>
      </c>
      <c r="L54" s="3">
        <f t="shared" si="1"/>
        <v>0.16393442622950818</v>
      </c>
    </row>
    <row r="55" spans="1:12" x14ac:dyDescent="0.25">
      <c r="A55" s="1">
        <v>44797</v>
      </c>
      <c r="B55" s="1">
        <v>44795</v>
      </c>
      <c r="C55" s="1">
        <v>44774</v>
      </c>
      <c r="D55">
        <v>2022</v>
      </c>
      <c r="E55">
        <v>34</v>
      </c>
      <c r="F55">
        <v>2022</v>
      </c>
      <c r="G55">
        <v>8</v>
      </c>
      <c r="H55">
        <v>67</v>
      </c>
      <c r="I55">
        <f>VLOOKUP($B55,wau!$A:$D,4,0)</f>
        <v>206</v>
      </c>
      <c r="J55">
        <f>VLOOKUP($C55,mau!$A:$D,4,0)</f>
        <v>366</v>
      </c>
      <c r="K55" s="3">
        <f t="shared" si="0"/>
        <v>0.32524271844660196</v>
      </c>
      <c r="L55" s="3">
        <f t="shared" si="1"/>
        <v>0.1830601092896175</v>
      </c>
    </row>
    <row r="56" spans="1:12" x14ac:dyDescent="0.25">
      <c r="A56" s="1">
        <v>44798</v>
      </c>
      <c r="B56" s="1">
        <v>44795</v>
      </c>
      <c r="C56" s="1">
        <v>44774</v>
      </c>
      <c r="D56">
        <v>2022</v>
      </c>
      <c r="E56">
        <v>34</v>
      </c>
      <c r="F56">
        <v>2022</v>
      </c>
      <c r="G56">
        <v>8</v>
      </c>
      <c r="H56">
        <v>67</v>
      </c>
      <c r="I56">
        <f>VLOOKUP($B56,wau!$A:$D,4,0)</f>
        <v>206</v>
      </c>
      <c r="J56">
        <f>VLOOKUP($C56,mau!$A:$D,4,0)</f>
        <v>366</v>
      </c>
      <c r="K56" s="3">
        <f t="shared" si="0"/>
        <v>0.32524271844660196</v>
      </c>
      <c r="L56" s="3">
        <f t="shared" si="1"/>
        <v>0.1830601092896175</v>
      </c>
    </row>
    <row r="57" spans="1:12" x14ac:dyDescent="0.25">
      <c r="A57" s="1">
        <v>44799</v>
      </c>
      <c r="B57" s="1">
        <v>44795</v>
      </c>
      <c r="C57" s="1">
        <v>44774</v>
      </c>
      <c r="D57">
        <v>2022</v>
      </c>
      <c r="E57">
        <v>34</v>
      </c>
      <c r="F57">
        <v>2022</v>
      </c>
      <c r="G57">
        <v>8</v>
      </c>
      <c r="H57">
        <v>61</v>
      </c>
      <c r="I57">
        <f>VLOOKUP($B57,wau!$A:$D,4,0)</f>
        <v>206</v>
      </c>
      <c r="J57">
        <f>VLOOKUP($C57,mau!$A:$D,4,0)</f>
        <v>366</v>
      </c>
      <c r="K57" s="3">
        <f t="shared" si="0"/>
        <v>0.29611650485436891</v>
      </c>
      <c r="L57" s="3">
        <f t="shared" si="1"/>
        <v>0.16666666666666666</v>
      </c>
    </row>
    <row r="58" spans="1:12" x14ac:dyDescent="0.25">
      <c r="A58" s="1">
        <v>44800</v>
      </c>
      <c r="B58" s="1">
        <v>44795</v>
      </c>
      <c r="C58" s="1">
        <v>44774</v>
      </c>
      <c r="D58">
        <v>2022</v>
      </c>
      <c r="E58">
        <v>34</v>
      </c>
      <c r="F58">
        <v>2022</v>
      </c>
      <c r="G58">
        <v>8</v>
      </c>
      <c r="H58">
        <v>63</v>
      </c>
      <c r="I58">
        <f>VLOOKUP($B58,wau!$A:$D,4,0)</f>
        <v>206</v>
      </c>
      <c r="J58">
        <f>VLOOKUP($C58,mau!$A:$D,4,0)</f>
        <v>366</v>
      </c>
      <c r="K58" s="3">
        <f t="shared" si="0"/>
        <v>0.30582524271844658</v>
      </c>
      <c r="L58" s="3">
        <f t="shared" si="1"/>
        <v>0.1721311475409836</v>
      </c>
    </row>
    <row r="59" spans="1:12" x14ac:dyDescent="0.25">
      <c r="A59" s="1">
        <v>44801</v>
      </c>
      <c r="B59" s="1">
        <v>44795</v>
      </c>
      <c r="C59" s="1">
        <v>44774</v>
      </c>
      <c r="D59">
        <v>2022</v>
      </c>
      <c r="E59">
        <v>34</v>
      </c>
      <c r="F59">
        <v>2022</v>
      </c>
      <c r="G59">
        <v>8</v>
      </c>
      <c r="H59">
        <v>61</v>
      </c>
      <c r="I59">
        <f>VLOOKUP($B59,wau!$A:$D,4,0)</f>
        <v>206</v>
      </c>
      <c r="J59">
        <f>VLOOKUP($C59,mau!$A:$D,4,0)</f>
        <v>366</v>
      </c>
      <c r="K59" s="3">
        <f t="shared" si="0"/>
        <v>0.29611650485436891</v>
      </c>
      <c r="L59" s="3">
        <f t="shared" si="1"/>
        <v>0.16666666666666666</v>
      </c>
    </row>
    <row r="60" spans="1:12" x14ac:dyDescent="0.25">
      <c r="A60" s="1">
        <v>44802</v>
      </c>
      <c r="B60" s="1">
        <v>44802</v>
      </c>
      <c r="C60" s="1">
        <v>44774</v>
      </c>
      <c r="D60">
        <v>2022</v>
      </c>
      <c r="E60">
        <v>35</v>
      </c>
      <c r="F60">
        <v>2022</v>
      </c>
      <c r="G60">
        <v>8</v>
      </c>
      <c r="H60">
        <v>54</v>
      </c>
      <c r="I60">
        <f>VLOOKUP($B60,wau!$A:$D,4,0)</f>
        <v>192</v>
      </c>
      <c r="J60">
        <f>VLOOKUP($C60,mau!$A:$D,4,0)</f>
        <v>366</v>
      </c>
      <c r="K60" s="3">
        <f t="shared" si="0"/>
        <v>0.28125</v>
      </c>
      <c r="L60" s="3">
        <f t="shared" si="1"/>
        <v>0.14754098360655737</v>
      </c>
    </row>
    <row r="61" spans="1:12" x14ac:dyDescent="0.25">
      <c r="A61" s="1">
        <v>44803</v>
      </c>
      <c r="B61" s="1">
        <v>44802</v>
      </c>
      <c r="C61" s="1">
        <v>44774</v>
      </c>
      <c r="D61">
        <v>2022</v>
      </c>
      <c r="E61">
        <v>35</v>
      </c>
      <c r="F61">
        <v>2022</v>
      </c>
      <c r="G61">
        <v>8</v>
      </c>
      <c r="H61">
        <v>72</v>
      </c>
      <c r="I61">
        <f>VLOOKUP($B61,wau!$A:$D,4,0)</f>
        <v>192</v>
      </c>
      <c r="J61">
        <f>VLOOKUP($C61,mau!$A:$D,4,0)</f>
        <v>366</v>
      </c>
      <c r="K61" s="3">
        <f t="shared" si="0"/>
        <v>0.375</v>
      </c>
      <c r="L61" s="3">
        <f t="shared" si="1"/>
        <v>0.19672131147540983</v>
      </c>
    </row>
    <row r="62" spans="1:12" x14ac:dyDescent="0.25">
      <c r="A62" s="1">
        <v>44804</v>
      </c>
      <c r="B62" s="1">
        <v>44802</v>
      </c>
      <c r="C62" s="1">
        <v>44774</v>
      </c>
      <c r="D62">
        <v>2022</v>
      </c>
      <c r="E62">
        <v>35</v>
      </c>
      <c r="F62">
        <v>2022</v>
      </c>
      <c r="G62">
        <v>8</v>
      </c>
      <c r="H62">
        <v>54</v>
      </c>
      <c r="I62">
        <f>VLOOKUP($B62,wau!$A:$D,4,0)</f>
        <v>192</v>
      </c>
      <c r="J62">
        <f>VLOOKUP($C62,mau!$A:$D,4,0)</f>
        <v>366</v>
      </c>
      <c r="K62" s="3">
        <f t="shared" si="0"/>
        <v>0.28125</v>
      </c>
      <c r="L62" s="3">
        <f t="shared" si="1"/>
        <v>0.14754098360655737</v>
      </c>
    </row>
    <row r="63" spans="1:12" x14ac:dyDescent="0.25">
      <c r="A63" s="1">
        <v>44805</v>
      </c>
      <c r="B63" s="1">
        <v>44802</v>
      </c>
      <c r="C63" s="1">
        <v>44805</v>
      </c>
      <c r="D63">
        <v>2022</v>
      </c>
      <c r="E63">
        <v>35</v>
      </c>
      <c r="F63">
        <v>2022</v>
      </c>
      <c r="G63">
        <v>9</v>
      </c>
      <c r="H63">
        <v>66</v>
      </c>
      <c r="I63">
        <f>VLOOKUP($B63,wau!$A:$D,4,0)</f>
        <v>192</v>
      </c>
      <c r="J63">
        <f>VLOOKUP($C63,mau!$A:$D,4,0)</f>
        <v>378</v>
      </c>
      <c r="K63" s="3">
        <f t="shared" si="0"/>
        <v>0.34375</v>
      </c>
      <c r="L63" s="3">
        <f t="shared" si="1"/>
        <v>0.17460317460317459</v>
      </c>
    </row>
    <row r="64" spans="1:12" x14ac:dyDescent="0.25">
      <c r="A64" s="1">
        <v>44806</v>
      </c>
      <c r="B64" s="1">
        <v>44802</v>
      </c>
      <c r="C64" s="1">
        <v>44805</v>
      </c>
      <c r="D64">
        <v>2022</v>
      </c>
      <c r="E64">
        <v>35</v>
      </c>
      <c r="F64">
        <v>2022</v>
      </c>
      <c r="G64">
        <v>9</v>
      </c>
      <c r="H64">
        <v>61</v>
      </c>
      <c r="I64">
        <f>VLOOKUP($B64,wau!$A:$D,4,0)</f>
        <v>192</v>
      </c>
      <c r="J64">
        <f>VLOOKUP($C64,mau!$A:$D,4,0)</f>
        <v>378</v>
      </c>
      <c r="K64" s="3">
        <f t="shared" si="0"/>
        <v>0.31770833333333331</v>
      </c>
      <c r="L64" s="3">
        <f t="shared" si="1"/>
        <v>0.16137566137566137</v>
      </c>
    </row>
    <row r="65" spans="1:12" x14ac:dyDescent="0.25">
      <c r="A65" s="1">
        <v>44807</v>
      </c>
      <c r="B65" s="1">
        <v>44802</v>
      </c>
      <c r="C65" s="1">
        <v>44805</v>
      </c>
      <c r="D65">
        <v>2022</v>
      </c>
      <c r="E65">
        <v>35</v>
      </c>
      <c r="F65">
        <v>2022</v>
      </c>
      <c r="G65">
        <v>9</v>
      </c>
      <c r="H65">
        <v>58</v>
      </c>
      <c r="I65">
        <f>VLOOKUP($B65,wau!$A:$D,4,0)</f>
        <v>192</v>
      </c>
      <c r="J65">
        <f>VLOOKUP($C65,mau!$A:$D,4,0)</f>
        <v>378</v>
      </c>
      <c r="K65" s="3">
        <f t="shared" si="0"/>
        <v>0.30208333333333331</v>
      </c>
      <c r="L65" s="3">
        <f t="shared" si="1"/>
        <v>0.15343915343915343</v>
      </c>
    </row>
    <row r="66" spans="1:12" x14ac:dyDescent="0.25">
      <c r="A66" s="1">
        <v>44808</v>
      </c>
      <c r="B66" s="1">
        <v>44802</v>
      </c>
      <c r="C66" s="1">
        <v>44805</v>
      </c>
      <c r="D66">
        <v>2022</v>
      </c>
      <c r="E66">
        <v>35</v>
      </c>
      <c r="F66">
        <v>2022</v>
      </c>
      <c r="G66">
        <v>9</v>
      </c>
      <c r="H66">
        <v>64</v>
      </c>
      <c r="I66">
        <f>VLOOKUP($B66,wau!$A:$D,4,0)</f>
        <v>192</v>
      </c>
      <c r="J66">
        <f>VLOOKUP($C66,mau!$A:$D,4,0)</f>
        <v>378</v>
      </c>
      <c r="K66" s="3">
        <f t="shared" si="0"/>
        <v>0.33333333333333331</v>
      </c>
      <c r="L66" s="3">
        <f t="shared" si="1"/>
        <v>0.1693121693121693</v>
      </c>
    </row>
    <row r="67" spans="1:12" x14ac:dyDescent="0.25">
      <c r="A67" s="1">
        <v>44809</v>
      </c>
      <c r="B67" s="1">
        <v>44809</v>
      </c>
      <c r="C67" s="1">
        <v>44805</v>
      </c>
      <c r="D67">
        <v>2022</v>
      </c>
      <c r="E67">
        <v>36</v>
      </c>
      <c r="F67">
        <v>2022</v>
      </c>
      <c r="G67">
        <v>9</v>
      </c>
      <c r="H67">
        <v>62</v>
      </c>
      <c r="I67">
        <f>VLOOKUP($B67,wau!$A:$D,4,0)</f>
        <v>196</v>
      </c>
      <c r="J67">
        <f>VLOOKUP($C67,mau!$A:$D,4,0)</f>
        <v>378</v>
      </c>
      <c r="K67" s="3">
        <f t="shared" ref="K67:K130" si="2">IFERROR(H67/I67,"")</f>
        <v>0.31632653061224492</v>
      </c>
      <c r="L67" s="3">
        <f t="shared" ref="L67:L130" si="3">IFERROR(H67/J67,"")</f>
        <v>0.16402116402116401</v>
      </c>
    </row>
    <row r="68" spans="1:12" x14ac:dyDescent="0.25">
      <c r="A68" s="1">
        <v>44810</v>
      </c>
      <c r="B68" s="1">
        <v>44809</v>
      </c>
      <c r="C68" s="1">
        <v>44805</v>
      </c>
      <c r="D68">
        <v>2022</v>
      </c>
      <c r="E68">
        <v>36</v>
      </c>
      <c r="F68">
        <v>2022</v>
      </c>
      <c r="G68">
        <v>9</v>
      </c>
      <c r="H68">
        <v>46</v>
      </c>
      <c r="I68">
        <f>VLOOKUP($B68,wau!$A:$D,4,0)</f>
        <v>196</v>
      </c>
      <c r="J68">
        <f>VLOOKUP($C68,mau!$A:$D,4,0)</f>
        <v>378</v>
      </c>
      <c r="K68" s="3">
        <f t="shared" si="2"/>
        <v>0.23469387755102042</v>
      </c>
      <c r="L68" s="3">
        <f t="shared" si="3"/>
        <v>0.12169312169312169</v>
      </c>
    </row>
    <row r="69" spans="1:12" x14ac:dyDescent="0.25">
      <c r="A69" s="1">
        <v>44811</v>
      </c>
      <c r="B69" s="1">
        <v>44809</v>
      </c>
      <c r="C69" s="1">
        <v>44805</v>
      </c>
      <c r="D69">
        <v>2022</v>
      </c>
      <c r="E69">
        <v>36</v>
      </c>
      <c r="F69">
        <v>2022</v>
      </c>
      <c r="G69">
        <v>9</v>
      </c>
      <c r="H69">
        <v>49</v>
      </c>
      <c r="I69">
        <f>VLOOKUP($B69,wau!$A:$D,4,0)</f>
        <v>196</v>
      </c>
      <c r="J69">
        <f>VLOOKUP($C69,mau!$A:$D,4,0)</f>
        <v>378</v>
      </c>
      <c r="K69" s="3">
        <f t="shared" si="2"/>
        <v>0.25</v>
      </c>
      <c r="L69" s="3">
        <f t="shared" si="3"/>
        <v>0.12962962962962962</v>
      </c>
    </row>
    <row r="70" spans="1:12" x14ac:dyDescent="0.25">
      <c r="A70" s="1">
        <v>44812</v>
      </c>
      <c r="B70" s="1">
        <v>44809</v>
      </c>
      <c r="C70" s="1">
        <v>44805</v>
      </c>
      <c r="D70">
        <v>2022</v>
      </c>
      <c r="E70">
        <v>36</v>
      </c>
      <c r="F70">
        <v>2022</v>
      </c>
      <c r="G70">
        <v>9</v>
      </c>
      <c r="H70">
        <v>59</v>
      </c>
      <c r="I70">
        <f>VLOOKUP($B70,wau!$A:$D,4,0)</f>
        <v>196</v>
      </c>
      <c r="J70">
        <f>VLOOKUP($C70,mau!$A:$D,4,0)</f>
        <v>378</v>
      </c>
      <c r="K70" s="3">
        <f t="shared" si="2"/>
        <v>0.30102040816326531</v>
      </c>
      <c r="L70" s="3">
        <f t="shared" si="3"/>
        <v>0.15608465608465608</v>
      </c>
    </row>
    <row r="71" spans="1:12" x14ac:dyDescent="0.25">
      <c r="A71" s="1">
        <v>44813</v>
      </c>
      <c r="B71" s="1">
        <v>44809</v>
      </c>
      <c r="C71" s="1">
        <v>44805</v>
      </c>
      <c r="D71">
        <v>2022</v>
      </c>
      <c r="E71">
        <v>36</v>
      </c>
      <c r="F71">
        <v>2022</v>
      </c>
      <c r="G71">
        <v>9</v>
      </c>
      <c r="H71">
        <v>60</v>
      </c>
      <c r="I71">
        <f>VLOOKUP($B71,wau!$A:$D,4,0)</f>
        <v>196</v>
      </c>
      <c r="J71">
        <f>VLOOKUP($C71,mau!$A:$D,4,0)</f>
        <v>378</v>
      </c>
      <c r="K71" s="3">
        <f t="shared" si="2"/>
        <v>0.30612244897959184</v>
      </c>
      <c r="L71" s="3">
        <f t="shared" si="3"/>
        <v>0.15873015873015872</v>
      </c>
    </row>
    <row r="72" spans="1:12" x14ac:dyDescent="0.25">
      <c r="A72" s="1">
        <v>44814</v>
      </c>
      <c r="B72" s="1">
        <v>44809</v>
      </c>
      <c r="C72" s="1">
        <v>44805</v>
      </c>
      <c r="D72">
        <v>2022</v>
      </c>
      <c r="E72">
        <v>36</v>
      </c>
      <c r="F72">
        <v>2022</v>
      </c>
      <c r="G72">
        <v>9</v>
      </c>
      <c r="H72">
        <v>53</v>
      </c>
      <c r="I72">
        <f>VLOOKUP($B72,wau!$A:$D,4,0)</f>
        <v>196</v>
      </c>
      <c r="J72">
        <f>VLOOKUP($C72,mau!$A:$D,4,0)</f>
        <v>378</v>
      </c>
      <c r="K72" s="3">
        <f t="shared" si="2"/>
        <v>0.27040816326530615</v>
      </c>
      <c r="L72" s="3">
        <f t="shared" si="3"/>
        <v>0.1402116402116402</v>
      </c>
    </row>
    <row r="73" spans="1:12" x14ac:dyDescent="0.25">
      <c r="A73" s="1">
        <v>44815</v>
      </c>
      <c r="B73" s="1">
        <v>44809</v>
      </c>
      <c r="C73" s="1">
        <v>44805</v>
      </c>
      <c r="D73">
        <v>2022</v>
      </c>
      <c r="E73">
        <v>36</v>
      </c>
      <c r="F73">
        <v>2022</v>
      </c>
      <c r="G73">
        <v>9</v>
      </c>
      <c r="H73">
        <v>61</v>
      </c>
      <c r="I73">
        <f>VLOOKUP($B73,wau!$A:$D,4,0)</f>
        <v>196</v>
      </c>
      <c r="J73">
        <f>VLOOKUP($C73,mau!$A:$D,4,0)</f>
        <v>378</v>
      </c>
      <c r="K73" s="3">
        <f t="shared" si="2"/>
        <v>0.31122448979591838</v>
      </c>
      <c r="L73" s="3">
        <f t="shared" si="3"/>
        <v>0.16137566137566137</v>
      </c>
    </row>
    <row r="74" spans="1:12" x14ac:dyDescent="0.25">
      <c r="A74" s="1">
        <v>44816</v>
      </c>
      <c r="B74" s="1">
        <v>44816</v>
      </c>
      <c r="C74" s="1">
        <v>44805</v>
      </c>
      <c r="D74">
        <v>2022</v>
      </c>
      <c r="E74">
        <v>37</v>
      </c>
      <c r="F74">
        <v>2022</v>
      </c>
      <c r="G74">
        <v>9</v>
      </c>
      <c r="H74">
        <v>58</v>
      </c>
      <c r="I74">
        <f>VLOOKUP($B74,wau!$A:$D,4,0)</f>
        <v>205</v>
      </c>
      <c r="J74">
        <f>VLOOKUP($C74,mau!$A:$D,4,0)</f>
        <v>378</v>
      </c>
      <c r="K74" s="3">
        <f t="shared" si="2"/>
        <v>0.28292682926829266</v>
      </c>
      <c r="L74" s="3">
        <f t="shared" si="3"/>
        <v>0.15343915343915343</v>
      </c>
    </row>
    <row r="75" spans="1:12" x14ac:dyDescent="0.25">
      <c r="A75" s="1">
        <v>44817</v>
      </c>
      <c r="B75" s="1">
        <v>44816</v>
      </c>
      <c r="C75" s="1">
        <v>44805</v>
      </c>
      <c r="D75">
        <v>2022</v>
      </c>
      <c r="E75">
        <v>37</v>
      </c>
      <c r="F75">
        <v>2022</v>
      </c>
      <c r="G75">
        <v>9</v>
      </c>
      <c r="H75">
        <v>64</v>
      </c>
      <c r="I75">
        <f>VLOOKUP($B75,wau!$A:$D,4,0)</f>
        <v>205</v>
      </c>
      <c r="J75">
        <f>VLOOKUP($C75,mau!$A:$D,4,0)</f>
        <v>378</v>
      </c>
      <c r="K75" s="3">
        <f t="shared" si="2"/>
        <v>0.31219512195121951</v>
      </c>
      <c r="L75" s="3">
        <f t="shared" si="3"/>
        <v>0.1693121693121693</v>
      </c>
    </row>
    <row r="76" spans="1:12" x14ac:dyDescent="0.25">
      <c r="A76" s="1">
        <v>44818</v>
      </c>
      <c r="B76" s="1">
        <v>44816</v>
      </c>
      <c r="C76" s="1">
        <v>44805</v>
      </c>
      <c r="D76">
        <v>2022</v>
      </c>
      <c r="E76">
        <v>37</v>
      </c>
      <c r="F76">
        <v>2022</v>
      </c>
      <c r="G76">
        <v>9</v>
      </c>
      <c r="H76">
        <v>65</v>
      </c>
      <c r="I76">
        <f>VLOOKUP($B76,wau!$A:$D,4,0)</f>
        <v>205</v>
      </c>
      <c r="J76">
        <f>VLOOKUP($C76,mau!$A:$D,4,0)</f>
        <v>378</v>
      </c>
      <c r="K76" s="3">
        <f t="shared" si="2"/>
        <v>0.31707317073170732</v>
      </c>
      <c r="L76" s="3">
        <f t="shared" si="3"/>
        <v>0.17195767195767195</v>
      </c>
    </row>
    <row r="77" spans="1:12" x14ac:dyDescent="0.25">
      <c r="A77" s="1">
        <v>44819</v>
      </c>
      <c r="B77" s="1">
        <v>44816</v>
      </c>
      <c r="C77" s="1">
        <v>44805</v>
      </c>
      <c r="D77">
        <v>2022</v>
      </c>
      <c r="E77">
        <v>37</v>
      </c>
      <c r="F77">
        <v>2022</v>
      </c>
      <c r="G77">
        <v>9</v>
      </c>
      <c r="H77">
        <v>74</v>
      </c>
      <c r="I77">
        <f>VLOOKUP($B77,wau!$A:$D,4,0)</f>
        <v>205</v>
      </c>
      <c r="J77">
        <f>VLOOKUP($C77,mau!$A:$D,4,0)</f>
        <v>378</v>
      </c>
      <c r="K77" s="3">
        <f t="shared" si="2"/>
        <v>0.36097560975609755</v>
      </c>
      <c r="L77" s="3">
        <f t="shared" si="3"/>
        <v>0.19576719576719576</v>
      </c>
    </row>
    <row r="78" spans="1:12" x14ac:dyDescent="0.25">
      <c r="A78" s="1">
        <v>44820</v>
      </c>
      <c r="B78" s="1">
        <v>44816</v>
      </c>
      <c r="C78" s="1">
        <v>44805</v>
      </c>
      <c r="D78">
        <v>2022</v>
      </c>
      <c r="E78">
        <v>37</v>
      </c>
      <c r="F78">
        <v>2022</v>
      </c>
      <c r="G78">
        <v>9</v>
      </c>
      <c r="H78">
        <v>58</v>
      </c>
      <c r="I78">
        <f>VLOOKUP($B78,wau!$A:$D,4,0)</f>
        <v>205</v>
      </c>
      <c r="J78">
        <f>VLOOKUP($C78,mau!$A:$D,4,0)</f>
        <v>378</v>
      </c>
      <c r="K78" s="3">
        <f t="shared" si="2"/>
        <v>0.28292682926829266</v>
      </c>
      <c r="L78" s="3">
        <f t="shared" si="3"/>
        <v>0.15343915343915343</v>
      </c>
    </row>
    <row r="79" spans="1:12" x14ac:dyDescent="0.25">
      <c r="A79" s="1">
        <v>44821</v>
      </c>
      <c r="B79" s="1">
        <v>44816</v>
      </c>
      <c r="C79" s="1">
        <v>44805</v>
      </c>
      <c r="D79">
        <v>2022</v>
      </c>
      <c r="E79">
        <v>37</v>
      </c>
      <c r="F79">
        <v>2022</v>
      </c>
      <c r="G79">
        <v>9</v>
      </c>
      <c r="H79">
        <v>62</v>
      </c>
      <c r="I79">
        <f>VLOOKUP($B79,wau!$A:$D,4,0)</f>
        <v>205</v>
      </c>
      <c r="J79">
        <f>VLOOKUP($C79,mau!$A:$D,4,0)</f>
        <v>378</v>
      </c>
      <c r="K79" s="3">
        <f t="shared" si="2"/>
        <v>0.30243902439024389</v>
      </c>
      <c r="L79" s="3">
        <f t="shared" si="3"/>
        <v>0.16402116402116401</v>
      </c>
    </row>
    <row r="80" spans="1:12" x14ac:dyDescent="0.25">
      <c r="A80" s="1">
        <v>44822</v>
      </c>
      <c r="B80" s="1">
        <v>44816</v>
      </c>
      <c r="C80" s="1">
        <v>44805</v>
      </c>
      <c r="D80">
        <v>2022</v>
      </c>
      <c r="E80">
        <v>37</v>
      </c>
      <c r="F80">
        <v>2022</v>
      </c>
      <c r="G80">
        <v>9</v>
      </c>
      <c r="H80">
        <v>69</v>
      </c>
      <c r="I80">
        <f>VLOOKUP($B80,wau!$A:$D,4,0)</f>
        <v>205</v>
      </c>
      <c r="J80">
        <f>VLOOKUP($C80,mau!$A:$D,4,0)</f>
        <v>378</v>
      </c>
      <c r="K80" s="3">
        <f t="shared" si="2"/>
        <v>0.33658536585365856</v>
      </c>
      <c r="L80" s="3">
        <f t="shared" si="3"/>
        <v>0.18253968253968253</v>
      </c>
    </row>
    <row r="81" spans="1:12" x14ac:dyDescent="0.25">
      <c r="A81" s="1">
        <v>44823</v>
      </c>
      <c r="B81" s="1">
        <v>44823</v>
      </c>
      <c r="C81" s="1">
        <v>44805</v>
      </c>
      <c r="D81">
        <v>2022</v>
      </c>
      <c r="E81">
        <v>38</v>
      </c>
      <c r="F81">
        <v>2022</v>
      </c>
      <c r="G81">
        <v>9</v>
      </c>
      <c r="H81">
        <v>66</v>
      </c>
      <c r="I81">
        <f>VLOOKUP($B81,wau!$A:$D,4,0)</f>
        <v>213</v>
      </c>
      <c r="J81">
        <f>VLOOKUP($C81,mau!$A:$D,4,0)</f>
        <v>378</v>
      </c>
      <c r="K81" s="3">
        <f t="shared" si="2"/>
        <v>0.30985915492957744</v>
      </c>
      <c r="L81" s="3">
        <f t="shared" si="3"/>
        <v>0.17460317460317459</v>
      </c>
    </row>
    <row r="82" spans="1:12" x14ac:dyDescent="0.25">
      <c r="A82" s="1">
        <v>44824</v>
      </c>
      <c r="B82" s="1">
        <v>44823</v>
      </c>
      <c r="C82" s="1">
        <v>44805</v>
      </c>
      <c r="D82">
        <v>2022</v>
      </c>
      <c r="E82">
        <v>38</v>
      </c>
      <c r="F82">
        <v>2022</v>
      </c>
      <c r="G82">
        <v>9</v>
      </c>
      <c r="H82">
        <v>67</v>
      </c>
      <c r="I82">
        <f>VLOOKUP($B82,wau!$A:$D,4,0)</f>
        <v>213</v>
      </c>
      <c r="J82">
        <f>VLOOKUP($C82,mau!$A:$D,4,0)</f>
        <v>378</v>
      </c>
      <c r="K82" s="3">
        <f t="shared" si="2"/>
        <v>0.31455399061032863</v>
      </c>
      <c r="L82" s="3">
        <f t="shared" si="3"/>
        <v>0.17724867724867724</v>
      </c>
    </row>
    <row r="83" spans="1:12" x14ac:dyDescent="0.25">
      <c r="A83" s="1">
        <v>44825</v>
      </c>
      <c r="B83" s="1">
        <v>44823</v>
      </c>
      <c r="C83" s="1">
        <v>44805</v>
      </c>
      <c r="D83">
        <v>2022</v>
      </c>
      <c r="E83">
        <v>38</v>
      </c>
      <c r="F83">
        <v>2022</v>
      </c>
      <c r="G83">
        <v>9</v>
      </c>
      <c r="H83">
        <v>71</v>
      </c>
      <c r="I83">
        <f>VLOOKUP($B83,wau!$A:$D,4,0)</f>
        <v>213</v>
      </c>
      <c r="J83">
        <f>VLOOKUP($C83,mau!$A:$D,4,0)</f>
        <v>378</v>
      </c>
      <c r="K83" s="3">
        <f t="shared" si="2"/>
        <v>0.33333333333333331</v>
      </c>
      <c r="L83" s="3">
        <f t="shared" si="3"/>
        <v>0.18783068783068782</v>
      </c>
    </row>
    <row r="84" spans="1:12" x14ac:dyDescent="0.25">
      <c r="A84" s="1">
        <v>44826</v>
      </c>
      <c r="B84" s="1">
        <v>44823</v>
      </c>
      <c r="C84" s="1">
        <v>44805</v>
      </c>
      <c r="D84">
        <v>2022</v>
      </c>
      <c r="E84">
        <v>38</v>
      </c>
      <c r="F84">
        <v>2022</v>
      </c>
      <c r="G84">
        <v>9</v>
      </c>
      <c r="H84">
        <v>67</v>
      </c>
      <c r="I84">
        <f>VLOOKUP($B84,wau!$A:$D,4,0)</f>
        <v>213</v>
      </c>
      <c r="J84">
        <f>VLOOKUP($C84,mau!$A:$D,4,0)</f>
        <v>378</v>
      </c>
      <c r="K84" s="3">
        <f t="shared" si="2"/>
        <v>0.31455399061032863</v>
      </c>
      <c r="L84" s="3">
        <f t="shared" si="3"/>
        <v>0.17724867724867724</v>
      </c>
    </row>
    <row r="85" spans="1:12" x14ac:dyDescent="0.25">
      <c r="A85" s="1">
        <v>44827</v>
      </c>
      <c r="B85" s="1">
        <v>44823</v>
      </c>
      <c r="C85" s="1">
        <v>44805</v>
      </c>
      <c r="D85">
        <v>2022</v>
      </c>
      <c r="E85">
        <v>38</v>
      </c>
      <c r="F85">
        <v>2022</v>
      </c>
      <c r="G85">
        <v>9</v>
      </c>
      <c r="H85">
        <v>55</v>
      </c>
      <c r="I85">
        <f>VLOOKUP($B85,wau!$A:$D,4,0)</f>
        <v>213</v>
      </c>
      <c r="J85">
        <f>VLOOKUP($C85,mau!$A:$D,4,0)</f>
        <v>378</v>
      </c>
      <c r="K85" s="3">
        <f t="shared" si="2"/>
        <v>0.25821596244131456</v>
      </c>
      <c r="L85" s="3">
        <f t="shared" si="3"/>
        <v>0.14550264550264549</v>
      </c>
    </row>
    <row r="86" spans="1:12" x14ac:dyDescent="0.25">
      <c r="A86" s="1">
        <v>44828</v>
      </c>
      <c r="B86" s="1">
        <v>44823</v>
      </c>
      <c r="C86" s="1">
        <v>44805</v>
      </c>
      <c r="D86">
        <v>2022</v>
      </c>
      <c r="E86">
        <v>38</v>
      </c>
      <c r="F86">
        <v>2022</v>
      </c>
      <c r="G86">
        <v>9</v>
      </c>
      <c r="H86">
        <v>58</v>
      </c>
      <c r="I86">
        <f>VLOOKUP($B86,wau!$A:$D,4,0)</f>
        <v>213</v>
      </c>
      <c r="J86">
        <f>VLOOKUP($C86,mau!$A:$D,4,0)</f>
        <v>378</v>
      </c>
      <c r="K86" s="3">
        <f t="shared" si="2"/>
        <v>0.27230046948356806</v>
      </c>
      <c r="L86" s="3">
        <f t="shared" si="3"/>
        <v>0.15343915343915343</v>
      </c>
    </row>
    <row r="87" spans="1:12" x14ac:dyDescent="0.25">
      <c r="A87" s="1">
        <v>44829</v>
      </c>
      <c r="B87" s="1">
        <v>44823</v>
      </c>
      <c r="C87" s="1">
        <v>44805</v>
      </c>
      <c r="D87">
        <v>2022</v>
      </c>
      <c r="E87">
        <v>38</v>
      </c>
      <c r="F87">
        <v>2022</v>
      </c>
      <c r="G87">
        <v>9</v>
      </c>
      <c r="H87">
        <v>73</v>
      </c>
      <c r="I87">
        <f>VLOOKUP($B87,wau!$A:$D,4,0)</f>
        <v>213</v>
      </c>
      <c r="J87">
        <f>VLOOKUP($C87,mau!$A:$D,4,0)</f>
        <v>378</v>
      </c>
      <c r="K87" s="3">
        <f t="shared" si="2"/>
        <v>0.34272300469483569</v>
      </c>
      <c r="L87" s="3">
        <f t="shared" si="3"/>
        <v>0.19312169312169311</v>
      </c>
    </row>
    <row r="88" spans="1:12" x14ac:dyDescent="0.25">
      <c r="A88" s="1">
        <v>44830</v>
      </c>
      <c r="B88" s="1">
        <v>44830</v>
      </c>
      <c r="C88" s="1">
        <v>44805</v>
      </c>
      <c r="D88">
        <v>2022</v>
      </c>
      <c r="E88">
        <v>39</v>
      </c>
      <c r="F88">
        <v>2022</v>
      </c>
      <c r="G88">
        <v>9</v>
      </c>
      <c r="H88">
        <v>58</v>
      </c>
      <c r="I88">
        <f>VLOOKUP($B88,wau!$A:$D,4,0)</f>
        <v>208</v>
      </c>
      <c r="J88">
        <f>VLOOKUP($C88,mau!$A:$D,4,0)</f>
        <v>378</v>
      </c>
      <c r="K88" s="3">
        <f t="shared" si="2"/>
        <v>0.27884615384615385</v>
      </c>
      <c r="L88" s="3">
        <f t="shared" si="3"/>
        <v>0.15343915343915343</v>
      </c>
    </row>
    <row r="89" spans="1:12" x14ac:dyDescent="0.25">
      <c r="A89" s="1">
        <v>44831</v>
      </c>
      <c r="B89" s="1">
        <v>44830</v>
      </c>
      <c r="C89" s="1">
        <v>44805</v>
      </c>
      <c r="D89">
        <v>2022</v>
      </c>
      <c r="E89">
        <v>39</v>
      </c>
      <c r="F89">
        <v>2022</v>
      </c>
      <c r="G89">
        <v>9</v>
      </c>
      <c r="H89">
        <v>76</v>
      </c>
      <c r="I89">
        <f>VLOOKUP($B89,wau!$A:$D,4,0)</f>
        <v>208</v>
      </c>
      <c r="J89">
        <f>VLOOKUP($C89,mau!$A:$D,4,0)</f>
        <v>378</v>
      </c>
      <c r="K89" s="3">
        <f t="shared" si="2"/>
        <v>0.36538461538461536</v>
      </c>
      <c r="L89" s="3">
        <f t="shared" si="3"/>
        <v>0.20105820105820105</v>
      </c>
    </row>
    <row r="90" spans="1:12" x14ac:dyDescent="0.25">
      <c r="A90" s="1">
        <v>44832</v>
      </c>
      <c r="B90" s="1">
        <v>44830</v>
      </c>
      <c r="C90" s="1">
        <v>44805</v>
      </c>
      <c r="D90">
        <v>2022</v>
      </c>
      <c r="E90">
        <v>39</v>
      </c>
      <c r="F90">
        <v>2022</v>
      </c>
      <c r="G90">
        <v>9</v>
      </c>
      <c r="H90">
        <v>62</v>
      </c>
      <c r="I90">
        <f>VLOOKUP($B90,wau!$A:$D,4,0)</f>
        <v>208</v>
      </c>
      <c r="J90">
        <f>VLOOKUP($C90,mau!$A:$D,4,0)</f>
        <v>378</v>
      </c>
      <c r="K90" s="3">
        <f t="shared" si="2"/>
        <v>0.29807692307692307</v>
      </c>
      <c r="L90" s="3">
        <f t="shared" si="3"/>
        <v>0.16402116402116401</v>
      </c>
    </row>
    <row r="91" spans="1:12" x14ac:dyDescent="0.25">
      <c r="A91" s="1">
        <v>44833</v>
      </c>
      <c r="B91" s="1">
        <v>44830</v>
      </c>
      <c r="C91" s="1">
        <v>44805</v>
      </c>
      <c r="D91">
        <v>2022</v>
      </c>
      <c r="E91">
        <v>39</v>
      </c>
      <c r="F91">
        <v>2022</v>
      </c>
      <c r="G91">
        <v>9</v>
      </c>
      <c r="H91">
        <v>66</v>
      </c>
      <c r="I91">
        <f>VLOOKUP($B91,wau!$A:$D,4,0)</f>
        <v>208</v>
      </c>
      <c r="J91">
        <f>VLOOKUP($C91,mau!$A:$D,4,0)</f>
        <v>378</v>
      </c>
      <c r="K91" s="3">
        <f t="shared" si="2"/>
        <v>0.31730769230769229</v>
      </c>
      <c r="L91" s="3">
        <f t="shared" si="3"/>
        <v>0.17460317460317459</v>
      </c>
    </row>
    <row r="92" spans="1:12" x14ac:dyDescent="0.25">
      <c r="A92" s="1">
        <v>44834</v>
      </c>
      <c r="B92" s="1">
        <v>44830</v>
      </c>
      <c r="C92" s="1">
        <v>44805</v>
      </c>
      <c r="D92">
        <v>2022</v>
      </c>
      <c r="E92">
        <v>39</v>
      </c>
      <c r="F92">
        <v>2022</v>
      </c>
      <c r="G92">
        <v>9</v>
      </c>
      <c r="H92">
        <v>59</v>
      </c>
      <c r="I92">
        <f>VLOOKUP($B92,wau!$A:$D,4,0)</f>
        <v>208</v>
      </c>
      <c r="J92">
        <f>VLOOKUP($C92,mau!$A:$D,4,0)</f>
        <v>378</v>
      </c>
      <c r="K92" s="3">
        <f t="shared" si="2"/>
        <v>0.28365384615384615</v>
      </c>
      <c r="L92" s="3">
        <f t="shared" si="3"/>
        <v>0.15608465608465608</v>
      </c>
    </row>
    <row r="93" spans="1:12" x14ac:dyDescent="0.25">
      <c r="A93" s="1">
        <v>44835</v>
      </c>
      <c r="B93" s="1">
        <v>44830</v>
      </c>
      <c r="C93" s="1">
        <v>44835</v>
      </c>
      <c r="D93">
        <v>2022</v>
      </c>
      <c r="E93">
        <v>39</v>
      </c>
      <c r="F93">
        <v>2022</v>
      </c>
      <c r="G93">
        <v>10</v>
      </c>
      <c r="H93">
        <v>61</v>
      </c>
      <c r="I93">
        <f>VLOOKUP($B93,wau!$A:$D,4,0)</f>
        <v>208</v>
      </c>
      <c r="J93">
        <f>VLOOKUP($C93,mau!$A:$D,4,0)</f>
        <v>393</v>
      </c>
      <c r="K93" s="3">
        <f t="shared" si="2"/>
        <v>0.29326923076923078</v>
      </c>
      <c r="L93" s="3">
        <f t="shared" si="3"/>
        <v>0.15521628498727735</v>
      </c>
    </row>
    <row r="94" spans="1:12" x14ac:dyDescent="0.25">
      <c r="A94" s="1">
        <v>44836</v>
      </c>
      <c r="B94" s="1">
        <v>44830</v>
      </c>
      <c r="C94" s="1">
        <v>44835</v>
      </c>
      <c r="D94">
        <v>2022</v>
      </c>
      <c r="E94">
        <v>39</v>
      </c>
      <c r="F94">
        <v>2022</v>
      </c>
      <c r="G94">
        <v>10</v>
      </c>
      <c r="H94">
        <v>52</v>
      </c>
      <c r="I94">
        <f>VLOOKUP($B94,wau!$A:$D,4,0)</f>
        <v>208</v>
      </c>
      <c r="J94">
        <f>VLOOKUP($C94,mau!$A:$D,4,0)</f>
        <v>393</v>
      </c>
      <c r="K94" s="3">
        <f t="shared" si="2"/>
        <v>0.25</v>
      </c>
      <c r="L94" s="3">
        <f t="shared" si="3"/>
        <v>0.13231552162849872</v>
      </c>
    </row>
    <row r="95" spans="1:12" x14ac:dyDescent="0.25">
      <c r="A95" s="1">
        <v>44837</v>
      </c>
      <c r="B95" s="1">
        <v>44837</v>
      </c>
      <c r="C95" s="1">
        <v>44835</v>
      </c>
      <c r="D95">
        <v>2022</v>
      </c>
      <c r="E95">
        <v>40</v>
      </c>
      <c r="F95">
        <v>2022</v>
      </c>
      <c r="G95">
        <v>10</v>
      </c>
      <c r="H95">
        <v>69</v>
      </c>
      <c r="I95">
        <f>VLOOKUP($B95,wau!$A:$D,4,0)</f>
        <v>207</v>
      </c>
      <c r="J95">
        <f>VLOOKUP($C95,mau!$A:$D,4,0)</f>
        <v>393</v>
      </c>
      <c r="K95" s="3">
        <f t="shared" si="2"/>
        <v>0.33333333333333331</v>
      </c>
      <c r="L95" s="3">
        <f t="shared" si="3"/>
        <v>0.17557251908396945</v>
      </c>
    </row>
    <row r="96" spans="1:12" x14ac:dyDescent="0.25">
      <c r="A96" s="1">
        <v>44838</v>
      </c>
      <c r="B96" s="1">
        <v>44837</v>
      </c>
      <c r="C96" s="1">
        <v>44835</v>
      </c>
      <c r="D96">
        <v>2022</v>
      </c>
      <c r="E96">
        <v>40</v>
      </c>
      <c r="F96">
        <v>2022</v>
      </c>
      <c r="G96">
        <v>10</v>
      </c>
      <c r="H96">
        <v>70</v>
      </c>
      <c r="I96">
        <f>VLOOKUP($B96,wau!$A:$D,4,0)</f>
        <v>207</v>
      </c>
      <c r="J96">
        <f>VLOOKUP($C96,mau!$A:$D,4,0)</f>
        <v>393</v>
      </c>
      <c r="K96" s="3">
        <f t="shared" si="2"/>
        <v>0.33816425120772947</v>
      </c>
      <c r="L96" s="3">
        <f t="shared" si="3"/>
        <v>0.17811704834605599</v>
      </c>
    </row>
    <row r="97" spans="1:12" x14ac:dyDescent="0.25">
      <c r="A97" s="1">
        <v>44839</v>
      </c>
      <c r="B97" s="1">
        <v>44837</v>
      </c>
      <c r="C97" s="1">
        <v>44835</v>
      </c>
      <c r="D97">
        <v>2022</v>
      </c>
      <c r="E97">
        <v>40</v>
      </c>
      <c r="F97">
        <v>2022</v>
      </c>
      <c r="G97">
        <v>10</v>
      </c>
      <c r="H97">
        <v>45</v>
      </c>
      <c r="I97">
        <f>VLOOKUP($B97,wau!$A:$D,4,0)</f>
        <v>207</v>
      </c>
      <c r="J97">
        <f>VLOOKUP($C97,mau!$A:$D,4,0)</f>
        <v>393</v>
      </c>
      <c r="K97" s="3">
        <f t="shared" si="2"/>
        <v>0.21739130434782608</v>
      </c>
      <c r="L97" s="3">
        <f t="shared" si="3"/>
        <v>0.11450381679389313</v>
      </c>
    </row>
    <row r="98" spans="1:12" x14ac:dyDescent="0.25">
      <c r="A98" s="1">
        <v>44840</v>
      </c>
      <c r="B98" s="1">
        <v>44837</v>
      </c>
      <c r="C98" s="1">
        <v>44835</v>
      </c>
      <c r="D98">
        <v>2022</v>
      </c>
      <c r="E98">
        <v>40</v>
      </c>
      <c r="F98">
        <v>2022</v>
      </c>
      <c r="G98">
        <v>10</v>
      </c>
      <c r="H98">
        <v>77</v>
      </c>
      <c r="I98">
        <f>VLOOKUP($B98,wau!$A:$D,4,0)</f>
        <v>207</v>
      </c>
      <c r="J98">
        <f>VLOOKUP($C98,mau!$A:$D,4,0)</f>
        <v>393</v>
      </c>
      <c r="K98" s="3">
        <f t="shared" si="2"/>
        <v>0.3719806763285024</v>
      </c>
      <c r="L98" s="3">
        <f t="shared" si="3"/>
        <v>0.19592875318066158</v>
      </c>
    </row>
    <row r="99" spans="1:12" x14ac:dyDescent="0.25">
      <c r="A99" s="1">
        <v>44841</v>
      </c>
      <c r="B99" s="1">
        <v>44837</v>
      </c>
      <c r="C99" s="1">
        <v>44835</v>
      </c>
      <c r="D99">
        <v>2022</v>
      </c>
      <c r="E99">
        <v>40</v>
      </c>
      <c r="F99">
        <v>2022</v>
      </c>
      <c r="G99">
        <v>10</v>
      </c>
      <c r="H99">
        <v>61</v>
      </c>
      <c r="I99">
        <f>VLOOKUP($B99,wau!$A:$D,4,0)</f>
        <v>207</v>
      </c>
      <c r="J99">
        <f>VLOOKUP($C99,mau!$A:$D,4,0)</f>
        <v>393</v>
      </c>
      <c r="K99" s="3">
        <f t="shared" si="2"/>
        <v>0.29468599033816423</v>
      </c>
      <c r="L99" s="3">
        <f t="shared" si="3"/>
        <v>0.15521628498727735</v>
      </c>
    </row>
    <row r="100" spans="1:12" x14ac:dyDescent="0.25">
      <c r="A100" s="1">
        <v>44842</v>
      </c>
      <c r="B100" s="1">
        <v>44837</v>
      </c>
      <c r="C100" s="1">
        <v>44835</v>
      </c>
      <c r="D100">
        <v>2022</v>
      </c>
      <c r="E100">
        <v>40</v>
      </c>
      <c r="F100">
        <v>2022</v>
      </c>
      <c r="G100">
        <v>10</v>
      </c>
      <c r="H100">
        <v>56</v>
      </c>
      <c r="I100">
        <f>VLOOKUP($B100,wau!$A:$D,4,0)</f>
        <v>207</v>
      </c>
      <c r="J100">
        <f>VLOOKUP($C100,mau!$A:$D,4,0)</f>
        <v>393</v>
      </c>
      <c r="K100" s="3">
        <f t="shared" si="2"/>
        <v>0.27053140096618356</v>
      </c>
      <c r="L100" s="3">
        <f t="shared" si="3"/>
        <v>0.14249363867684478</v>
      </c>
    </row>
    <row r="101" spans="1:12" x14ac:dyDescent="0.25">
      <c r="A101" s="1">
        <v>44843</v>
      </c>
      <c r="B101" s="1">
        <v>44837</v>
      </c>
      <c r="C101" s="1">
        <v>44835</v>
      </c>
      <c r="D101">
        <v>2022</v>
      </c>
      <c r="E101">
        <v>40</v>
      </c>
      <c r="F101">
        <v>2022</v>
      </c>
      <c r="G101">
        <v>10</v>
      </c>
      <c r="H101">
        <v>66</v>
      </c>
      <c r="I101">
        <f>VLOOKUP($B101,wau!$A:$D,4,0)</f>
        <v>207</v>
      </c>
      <c r="J101">
        <f>VLOOKUP($C101,mau!$A:$D,4,0)</f>
        <v>393</v>
      </c>
      <c r="K101" s="3">
        <f t="shared" si="2"/>
        <v>0.3188405797101449</v>
      </c>
      <c r="L101" s="3">
        <f t="shared" si="3"/>
        <v>0.16793893129770993</v>
      </c>
    </row>
    <row r="102" spans="1:12" x14ac:dyDescent="0.25">
      <c r="A102" s="1">
        <v>44844</v>
      </c>
      <c r="B102" s="1">
        <v>44844</v>
      </c>
      <c r="C102" s="1">
        <v>44835</v>
      </c>
      <c r="D102">
        <v>2022</v>
      </c>
      <c r="E102">
        <v>41</v>
      </c>
      <c r="F102">
        <v>2022</v>
      </c>
      <c r="G102">
        <v>10</v>
      </c>
      <c r="H102">
        <v>51</v>
      </c>
      <c r="I102">
        <f>VLOOKUP($B102,wau!$A:$D,4,0)</f>
        <v>204</v>
      </c>
      <c r="J102">
        <f>VLOOKUP($C102,mau!$A:$D,4,0)</f>
        <v>393</v>
      </c>
      <c r="K102" s="3">
        <f t="shared" si="2"/>
        <v>0.25</v>
      </c>
      <c r="L102" s="3">
        <f t="shared" si="3"/>
        <v>0.12977099236641221</v>
      </c>
    </row>
    <row r="103" spans="1:12" x14ac:dyDescent="0.25">
      <c r="A103" s="1">
        <v>44845</v>
      </c>
      <c r="B103" s="1">
        <v>44844</v>
      </c>
      <c r="C103" s="1">
        <v>44835</v>
      </c>
      <c r="D103">
        <v>2022</v>
      </c>
      <c r="E103">
        <v>41</v>
      </c>
      <c r="F103">
        <v>2022</v>
      </c>
      <c r="G103">
        <v>10</v>
      </c>
      <c r="H103">
        <v>59</v>
      </c>
      <c r="I103">
        <f>VLOOKUP($B103,wau!$A:$D,4,0)</f>
        <v>204</v>
      </c>
      <c r="J103">
        <f>VLOOKUP($C103,mau!$A:$D,4,0)</f>
        <v>393</v>
      </c>
      <c r="K103" s="3">
        <f t="shared" si="2"/>
        <v>0.28921568627450983</v>
      </c>
      <c r="L103" s="3">
        <f t="shared" si="3"/>
        <v>0.15012722646310434</v>
      </c>
    </row>
    <row r="104" spans="1:12" x14ac:dyDescent="0.25">
      <c r="A104" s="1">
        <v>44846</v>
      </c>
      <c r="B104" s="1">
        <v>44844</v>
      </c>
      <c r="C104" s="1">
        <v>44835</v>
      </c>
      <c r="D104">
        <v>2022</v>
      </c>
      <c r="E104">
        <v>41</v>
      </c>
      <c r="F104">
        <v>2022</v>
      </c>
      <c r="G104">
        <v>10</v>
      </c>
      <c r="H104">
        <v>65</v>
      </c>
      <c r="I104">
        <f>VLOOKUP($B104,wau!$A:$D,4,0)</f>
        <v>204</v>
      </c>
      <c r="J104">
        <f>VLOOKUP($C104,mau!$A:$D,4,0)</f>
        <v>393</v>
      </c>
      <c r="K104" s="3">
        <f t="shared" si="2"/>
        <v>0.31862745098039214</v>
      </c>
      <c r="L104" s="3">
        <f t="shared" si="3"/>
        <v>0.16539440203562342</v>
      </c>
    </row>
    <row r="105" spans="1:12" x14ac:dyDescent="0.25">
      <c r="A105" s="1">
        <v>44847</v>
      </c>
      <c r="B105" s="1">
        <v>44844</v>
      </c>
      <c r="C105" s="1">
        <v>44835</v>
      </c>
      <c r="D105">
        <v>2022</v>
      </c>
      <c r="E105">
        <v>41</v>
      </c>
      <c r="F105">
        <v>2022</v>
      </c>
      <c r="G105">
        <v>10</v>
      </c>
      <c r="H105">
        <v>53</v>
      </c>
      <c r="I105">
        <f>VLOOKUP($B105,wau!$A:$D,4,0)</f>
        <v>204</v>
      </c>
      <c r="J105">
        <f>VLOOKUP($C105,mau!$A:$D,4,0)</f>
        <v>393</v>
      </c>
      <c r="K105" s="3">
        <f t="shared" si="2"/>
        <v>0.25980392156862747</v>
      </c>
      <c r="L105" s="3">
        <f t="shared" si="3"/>
        <v>0.13486005089058525</v>
      </c>
    </row>
    <row r="106" spans="1:12" x14ac:dyDescent="0.25">
      <c r="A106" s="1">
        <v>44848</v>
      </c>
      <c r="B106" s="1">
        <v>44844</v>
      </c>
      <c r="C106" s="1">
        <v>44835</v>
      </c>
      <c r="D106">
        <v>2022</v>
      </c>
      <c r="E106">
        <v>41</v>
      </c>
      <c r="F106">
        <v>2022</v>
      </c>
      <c r="G106">
        <v>10</v>
      </c>
      <c r="H106">
        <v>72</v>
      </c>
      <c r="I106">
        <f>VLOOKUP($B106,wau!$A:$D,4,0)</f>
        <v>204</v>
      </c>
      <c r="J106">
        <f>VLOOKUP($C106,mau!$A:$D,4,0)</f>
        <v>393</v>
      </c>
      <c r="K106" s="3">
        <f t="shared" si="2"/>
        <v>0.35294117647058826</v>
      </c>
      <c r="L106" s="3">
        <f t="shared" si="3"/>
        <v>0.18320610687022901</v>
      </c>
    </row>
    <row r="107" spans="1:12" x14ac:dyDescent="0.25">
      <c r="A107" s="1">
        <v>44849</v>
      </c>
      <c r="B107" s="1">
        <v>44844</v>
      </c>
      <c r="C107" s="1">
        <v>44835</v>
      </c>
      <c r="D107">
        <v>2022</v>
      </c>
      <c r="E107">
        <v>41</v>
      </c>
      <c r="F107">
        <v>2022</v>
      </c>
      <c r="G107">
        <v>10</v>
      </c>
      <c r="H107">
        <v>62</v>
      </c>
      <c r="I107">
        <f>VLOOKUP($B107,wau!$A:$D,4,0)</f>
        <v>204</v>
      </c>
      <c r="J107">
        <f>VLOOKUP($C107,mau!$A:$D,4,0)</f>
        <v>393</v>
      </c>
      <c r="K107" s="3">
        <f t="shared" si="2"/>
        <v>0.30392156862745096</v>
      </c>
      <c r="L107" s="3">
        <f t="shared" si="3"/>
        <v>0.15776081424936386</v>
      </c>
    </row>
    <row r="108" spans="1:12" x14ac:dyDescent="0.25">
      <c r="A108" s="1">
        <v>44850</v>
      </c>
      <c r="B108" s="1">
        <v>44844</v>
      </c>
      <c r="C108" s="1">
        <v>44835</v>
      </c>
      <c r="D108">
        <v>2022</v>
      </c>
      <c r="E108">
        <v>41</v>
      </c>
      <c r="F108">
        <v>2022</v>
      </c>
      <c r="G108">
        <v>10</v>
      </c>
      <c r="H108">
        <v>62</v>
      </c>
      <c r="I108">
        <f>VLOOKUP($B108,wau!$A:$D,4,0)</f>
        <v>204</v>
      </c>
      <c r="J108">
        <f>VLOOKUP($C108,mau!$A:$D,4,0)</f>
        <v>393</v>
      </c>
      <c r="K108" s="3">
        <f t="shared" si="2"/>
        <v>0.30392156862745096</v>
      </c>
      <c r="L108" s="3">
        <f t="shared" si="3"/>
        <v>0.15776081424936386</v>
      </c>
    </row>
    <row r="109" spans="1:12" x14ac:dyDescent="0.25">
      <c r="A109" s="1">
        <v>44851</v>
      </c>
      <c r="B109" s="1">
        <v>44851</v>
      </c>
      <c r="C109" s="1">
        <v>44835</v>
      </c>
      <c r="D109">
        <v>2022</v>
      </c>
      <c r="E109">
        <v>42</v>
      </c>
      <c r="F109">
        <v>2022</v>
      </c>
      <c r="G109">
        <v>10</v>
      </c>
      <c r="H109">
        <v>70</v>
      </c>
      <c r="I109">
        <f>VLOOKUP($B109,wau!$A:$D,4,0)</f>
        <v>201</v>
      </c>
      <c r="J109">
        <f>VLOOKUP($C109,mau!$A:$D,4,0)</f>
        <v>393</v>
      </c>
      <c r="K109" s="3">
        <f t="shared" si="2"/>
        <v>0.34825870646766172</v>
      </c>
      <c r="L109" s="3">
        <f t="shared" si="3"/>
        <v>0.17811704834605599</v>
      </c>
    </row>
    <row r="110" spans="1:12" x14ac:dyDescent="0.25">
      <c r="A110" s="1">
        <v>44852</v>
      </c>
      <c r="B110" s="1">
        <v>44851</v>
      </c>
      <c r="C110" s="1">
        <v>44835</v>
      </c>
      <c r="D110">
        <v>2022</v>
      </c>
      <c r="E110">
        <v>42</v>
      </c>
      <c r="F110">
        <v>2022</v>
      </c>
      <c r="G110">
        <v>10</v>
      </c>
      <c r="H110">
        <v>62</v>
      </c>
      <c r="I110">
        <f>VLOOKUP($B110,wau!$A:$D,4,0)</f>
        <v>201</v>
      </c>
      <c r="J110">
        <f>VLOOKUP($C110,mau!$A:$D,4,0)</f>
        <v>393</v>
      </c>
      <c r="K110" s="3">
        <f t="shared" si="2"/>
        <v>0.30845771144278605</v>
      </c>
      <c r="L110" s="3">
        <f t="shared" si="3"/>
        <v>0.15776081424936386</v>
      </c>
    </row>
    <row r="111" spans="1:12" x14ac:dyDescent="0.25">
      <c r="A111" s="1">
        <v>44853</v>
      </c>
      <c r="B111" s="1">
        <v>44851</v>
      </c>
      <c r="C111" s="1">
        <v>44835</v>
      </c>
      <c r="D111">
        <v>2022</v>
      </c>
      <c r="E111">
        <v>42</v>
      </c>
      <c r="F111">
        <v>2022</v>
      </c>
      <c r="G111">
        <v>10</v>
      </c>
      <c r="H111">
        <v>82</v>
      </c>
      <c r="I111">
        <f>VLOOKUP($B111,wau!$A:$D,4,0)</f>
        <v>201</v>
      </c>
      <c r="J111">
        <f>VLOOKUP($C111,mau!$A:$D,4,0)</f>
        <v>393</v>
      </c>
      <c r="K111" s="3">
        <f t="shared" si="2"/>
        <v>0.4079601990049751</v>
      </c>
      <c r="L111" s="3">
        <f t="shared" si="3"/>
        <v>0.20865139949109415</v>
      </c>
    </row>
    <row r="112" spans="1:12" x14ac:dyDescent="0.25">
      <c r="A112" s="1">
        <v>44854</v>
      </c>
      <c r="B112" s="1">
        <v>44851</v>
      </c>
      <c r="C112" s="1">
        <v>44835</v>
      </c>
      <c r="D112">
        <v>2022</v>
      </c>
      <c r="E112">
        <v>42</v>
      </c>
      <c r="F112">
        <v>2022</v>
      </c>
      <c r="G112">
        <v>10</v>
      </c>
      <c r="H112">
        <v>52</v>
      </c>
      <c r="I112">
        <f>VLOOKUP($B112,wau!$A:$D,4,0)</f>
        <v>201</v>
      </c>
      <c r="J112">
        <f>VLOOKUP($C112,mau!$A:$D,4,0)</f>
        <v>393</v>
      </c>
      <c r="K112" s="3">
        <f t="shared" si="2"/>
        <v>0.25870646766169153</v>
      </c>
      <c r="L112" s="3">
        <f t="shared" si="3"/>
        <v>0.13231552162849872</v>
      </c>
    </row>
    <row r="113" spans="1:12" x14ac:dyDescent="0.25">
      <c r="A113" s="1">
        <v>44855</v>
      </c>
      <c r="B113" s="1">
        <v>44851</v>
      </c>
      <c r="C113" s="1">
        <v>44835</v>
      </c>
      <c r="D113">
        <v>2022</v>
      </c>
      <c r="E113">
        <v>42</v>
      </c>
      <c r="F113">
        <v>2022</v>
      </c>
      <c r="G113">
        <v>10</v>
      </c>
      <c r="H113">
        <v>65</v>
      </c>
      <c r="I113">
        <f>VLOOKUP($B113,wau!$A:$D,4,0)</f>
        <v>201</v>
      </c>
      <c r="J113">
        <f>VLOOKUP($C113,mau!$A:$D,4,0)</f>
        <v>393</v>
      </c>
      <c r="K113" s="3">
        <f t="shared" si="2"/>
        <v>0.32338308457711445</v>
      </c>
      <c r="L113" s="3">
        <f t="shared" si="3"/>
        <v>0.16539440203562342</v>
      </c>
    </row>
    <row r="114" spans="1:12" x14ac:dyDescent="0.25">
      <c r="A114" s="1">
        <v>44856</v>
      </c>
      <c r="B114" s="1">
        <v>44851</v>
      </c>
      <c r="C114" s="1">
        <v>44835</v>
      </c>
      <c r="D114">
        <v>2022</v>
      </c>
      <c r="E114">
        <v>42</v>
      </c>
      <c r="F114">
        <v>2022</v>
      </c>
      <c r="G114">
        <v>10</v>
      </c>
      <c r="H114">
        <v>64</v>
      </c>
      <c r="I114">
        <f>VLOOKUP($B114,wau!$A:$D,4,0)</f>
        <v>201</v>
      </c>
      <c r="J114">
        <f>VLOOKUP($C114,mau!$A:$D,4,0)</f>
        <v>393</v>
      </c>
      <c r="K114" s="3">
        <f t="shared" si="2"/>
        <v>0.31840796019900497</v>
      </c>
      <c r="L114" s="3">
        <f t="shared" si="3"/>
        <v>0.16284987277353691</v>
      </c>
    </row>
    <row r="115" spans="1:12" x14ac:dyDescent="0.25">
      <c r="A115" s="1">
        <v>44857</v>
      </c>
      <c r="B115" s="1">
        <v>44851</v>
      </c>
      <c r="C115" s="1">
        <v>44835</v>
      </c>
      <c r="D115">
        <v>2022</v>
      </c>
      <c r="E115">
        <v>42</v>
      </c>
      <c r="F115">
        <v>2022</v>
      </c>
      <c r="G115">
        <v>10</v>
      </c>
      <c r="H115">
        <v>57</v>
      </c>
      <c r="I115">
        <f>VLOOKUP($B115,wau!$A:$D,4,0)</f>
        <v>201</v>
      </c>
      <c r="J115">
        <f>VLOOKUP($C115,mau!$A:$D,4,0)</f>
        <v>393</v>
      </c>
      <c r="K115" s="3">
        <f t="shared" si="2"/>
        <v>0.28358208955223879</v>
      </c>
      <c r="L115" s="3">
        <f t="shared" si="3"/>
        <v>0.14503816793893129</v>
      </c>
    </row>
    <row r="116" spans="1:12" x14ac:dyDescent="0.25">
      <c r="A116" s="1">
        <v>44858</v>
      </c>
      <c r="B116" s="1">
        <v>44858</v>
      </c>
      <c r="C116" s="1">
        <v>44835</v>
      </c>
      <c r="D116">
        <v>2022</v>
      </c>
      <c r="E116">
        <v>43</v>
      </c>
      <c r="F116">
        <v>2022</v>
      </c>
      <c r="G116">
        <v>10</v>
      </c>
      <c r="H116">
        <v>58</v>
      </c>
      <c r="I116">
        <f>VLOOKUP($B116,wau!$A:$D,4,0)</f>
        <v>213</v>
      </c>
      <c r="J116">
        <f>VLOOKUP($C116,mau!$A:$D,4,0)</f>
        <v>393</v>
      </c>
      <c r="K116" s="3">
        <f t="shared" si="2"/>
        <v>0.27230046948356806</v>
      </c>
      <c r="L116" s="3">
        <f t="shared" si="3"/>
        <v>0.1475826972010178</v>
      </c>
    </row>
    <row r="117" spans="1:12" x14ac:dyDescent="0.25">
      <c r="A117" s="1">
        <v>44859</v>
      </c>
      <c r="B117" s="1">
        <v>44858</v>
      </c>
      <c r="C117" s="1">
        <v>44835</v>
      </c>
      <c r="D117">
        <v>2022</v>
      </c>
      <c r="E117">
        <v>43</v>
      </c>
      <c r="F117">
        <v>2022</v>
      </c>
      <c r="G117">
        <v>10</v>
      </c>
      <c r="H117">
        <v>66</v>
      </c>
      <c r="I117">
        <f>VLOOKUP($B117,wau!$A:$D,4,0)</f>
        <v>213</v>
      </c>
      <c r="J117">
        <f>VLOOKUP($C117,mau!$A:$D,4,0)</f>
        <v>393</v>
      </c>
      <c r="K117" s="3">
        <f t="shared" si="2"/>
        <v>0.30985915492957744</v>
      </c>
      <c r="L117" s="3">
        <f t="shared" si="3"/>
        <v>0.16793893129770993</v>
      </c>
    </row>
    <row r="118" spans="1:12" x14ac:dyDescent="0.25">
      <c r="A118" s="1">
        <v>44860</v>
      </c>
      <c r="B118" s="1">
        <v>44858</v>
      </c>
      <c r="C118" s="1">
        <v>44835</v>
      </c>
      <c r="D118">
        <v>2022</v>
      </c>
      <c r="E118">
        <v>43</v>
      </c>
      <c r="F118">
        <v>2022</v>
      </c>
      <c r="G118">
        <v>10</v>
      </c>
      <c r="H118">
        <v>60</v>
      </c>
      <c r="I118">
        <f>VLOOKUP($B118,wau!$A:$D,4,0)</f>
        <v>213</v>
      </c>
      <c r="J118">
        <f>VLOOKUP($C118,mau!$A:$D,4,0)</f>
        <v>393</v>
      </c>
      <c r="K118" s="3">
        <f t="shared" si="2"/>
        <v>0.28169014084507044</v>
      </c>
      <c r="L118" s="3">
        <f t="shared" si="3"/>
        <v>0.15267175572519084</v>
      </c>
    </row>
    <row r="119" spans="1:12" x14ac:dyDescent="0.25">
      <c r="A119" s="1">
        <v>44861</v>
      </c>
      <c r="B119" s="1">
        <v>44858</v>
      </c>
      <c r="C119" s="1">
        <v>44835</v>
      </c>
      <c r="D119">
        <v>2022</v>
      </c>
      <c r="E119">
        <v>43</v>
      </c>
      <c r="F119">
        <v>2022</v>
      </c>
      <c r="G119">
        <v>10</v>
      </c>
      <c r="H119">
        <v>55</v>
      </c>
      <c r="I119">
        <f>VLOOKUP($B119,wau!$A:$D,4,0)</f>
        <v>213</v>
      </c>
      <c r="J119">
        <f>VLOOKUP($C119,mau!$A:$D,4,0)</f>
        <v>393</v>
      </c>
      <c r="K119" s="3">
        <f t="shared" si="2"/>
        <v>0.25821596244131456</v>
      </c>
      <c r="L119" s="3">
        <f t="shared" si="3"/>
        <v>0.13994910941475827</v>
      </c>
    </row>
    <row r="120" spans="1:12" x14ac:dyDescent="0.25">
      <c r="A120" s="1">
        <v>44862</v>
      </c>
      <c r="B120" s="1">
        <v>44858</v>
      </c>
      <c r="C120" s="1">
        <v>44835</v>
      </c>
      <c r="D120">
        <v>2022</v>
      </c>
      <c r="E120">
        <v>43</v>
      </c>
      <c r="F120">
        <v>2022</v>
      </c>
      <c r="G120">
        <v>10</v>
      </c>
      <c r="H120">
        <v>65</v>
      </c>
      <c r="I120">
        <f>VLOOKUP($B120,wau!$A:$D,4,0)</f>
        <v>213</v>
      </c>
      <c r="J120">
        <f>VLOOKUP($C120,mau!$A:$D,4,0)</f>
        <v>393</v>
      </c>
      <c r="K120" s="3">
        <f t="shared" si="2"/>
        <v>0.30516431924882631</v>
      </c>
      <c r="L120" s="3">
        <f t="shared" si="3"/>
        <v>0.16539440203562342</v>
      </c>
    </row>
    <row r="121" spans="1:12" x14ac:dyDescent="0.25">
      <c r="A121" s="1">
        <v>44863</v>
      </c>
      <c r="B121" s="1">
        <v>44858</v>
      </c>
      <c r="C121" s="1">
        <v>44835</v>
      </c>
      <c r="D121">
        <v>2022</v>
      </c>
      <c r="E121">
        <v>43</v>
      </c>
      <c r="F121">
        <v>2022</v>
      </c>
      <c r="G121">
        <v>10</v>
      </c>
      <c r="H121">
        <v>54</v>
      </c>
      <c r="I121">
        <f>VLOOKUP($B121,wau!$A:$D,4,0)</f>
        <v>213</v>
      </c>
      <c r="J121">
        <f>VLOOKUP($C121,mau!$A:$D,4,0)</f>
        <v>393</v>
      </c>
      <c r="K121" s="3">
        <f t="shared" si="2"/>
        <v>0.25352112676056338</v>
      </c>
      <c r="L121" s="3">
        <f t="shared" si="3"/>
        <v>0.13740458015267176</v>
      </c>
    </row>
    <row r="122" spans="1:12" x14ac:dyDescent="0.25">
      <c r="A122" s="1">
        <v>44864</v>
      </c>
      <c r="B122" s="1">
        <v>44858</v>
      </c>
      <c r="C122" s="1">
        <v>44835</v>
      </c>
      <c r="D122">
        <v>2022</v>
      </c>
      <c r="E122">
        <v>43</v>
      </c>
      <c r="F122">
        <v>2022</v>
      </c>
      <c r="G122">
        <v>10</v>
      </c>
      <c r="H122">
        <v>66</v>
      </c>
      <c r="I122">
        <f>VLOOKUP($B122,wau!$A:$D,4,0)</f>
        <v>213</v>
      </c>
      <c r="J122">
        <f>VLOOKUP($C122,mau!$A:$D,4,0)</f>
        <v>393</v>
      </c>
      <c r="K122" s="3">
        <f t="shared" si="2"/>
        <v>0.30985915492957744</v>
      </c>
      <c r="L122" s="3">
        <f t="shared" si="3"/>
        <v>0.16793893129770993</v>
      </c>
    </row>
    <row r="123" spans="1:12" x14ac:dyDescent="0.25">
      <c r="A123" s="1">
        <v>44865</v>
      </c>
      <c r="B123" s="1">
        <v>44865</v>
      </c>
      <c r="C123" s="1">
        <v>44835</v>
      </c>
      <c r="D123">
        <v>2022</v>
      </c>
      <c r="E123">
        <v>44</v>
      </c>
      <c r="F123">
        <v>2022</v>
      </c>
      <c r="G123">
        <v>10</v>
      </c>
      <c r="H123">
        <v>72</v>
      </c>
      <c r="I123">
        <f>VLOOKUP($B123,wau!$A:$D,4,0)</f>
        <v>214</v>
      </c>
      <c r="J123">
        <f>VLOOKUP($C123,mau!$A:$D,4,0)</f>
        <v>393</v>
      </c>
      <c r="K123" s="3">
        <f t="shared" si="2"/>
        <v>0.3364485981308411</v>
      </c>
      <c r="L123" s="3">
        <f t="shared" si="3"/>
        <v>0.18320610687022901</v>
      </c>
    </row>
    <row r="124" spans="1:12" x14ac:dyDescent="0.25">
      <c r="A124" s="1">
        <v>44866</v>
      </c>
      <c r="B124" s="1">
        <v>44865</v>
      </c>
      <c r="C124" s="1">
        <v>44866</v>
      </c>
      <c r="D124">
        <v>2022</v>
      </c>
      <c r="E124">
        <v>44</v>
      </c>
      <c r="F124">
        <v>2022</v>
      </c>
      <c r="G124">
        <v>11</v>
      </c>
      <c r="H124">
        <v>58</v>
      </c>
      <c r="I124">
        <f>VLOOKUP($B124,wau!$A:$D,4,0)</f>
        <v>214</v>
      </c>
      <c r="J124">
        <f>VLOOKUP($C124,mau!$A:$D,4,0)</f>
        <v>426</v>
      </c>
      <c r="K124" s="3">
        <f t="shared" si="2"/>
        <v>0.27102803738317754</v>
      </c>
      <c r="L124" s="3">
        <f t="shared" si="3"/>
        <v>0.13615023474178403</v>
      </c>
    </row>
    <row r="125" spans="1:12" x14ac:dyDescent="0.25">
      <c r="A125" s="1">
        <v>44867</v>
      </c>
      <c r="B125" s="1">
        <v>44865</v>
      </c>
      <c r="C125" s="1">
        <v>44866</v>
      </c>
      <c r="D125">
        <v>2022</v>
      </c>
      <c r="E125">
        <v>44</v>
      </c>
      <c r="F125">
        <v>2022</v>
      </c>
      <c r="G125">
        <v>11</v>
      </c>
      <c r="H125">
        <v>55</v>
      </c>
      <c r="I125">
        <f>VLOOKUP($B125,wau!$A:$D,4,0)</f>
        <v>214</v>
      </c>
      <c r="J125">
        <f>VLOOKUP($C125,mau!$A:$D,4,0)</f>
        <v>426</v>
      </c>
      <c r="K125" s="3">
        <f t="shared" si="2"/>
        <v>0.2570093457943925</v>
      </c>
      <c r="L125" s="3">
        <f t="shared" si="3"/>
        <v>0.12910798122065728</v>
      </c>
    </row>
    <row r="126" spans="1:12" x14ac:dyDescent="0.25">
      <c r="A126" s="1">
        <v>44868</v>
      </c>
      <c r="B126" s="1">
        <v>44865</v>
      </c>
      <c r="C126" s="1">
        <v>44866</v>
      </c>
      <c r="D126">
        <v>2022</v>
      </c>
      <c r="E126">
        <v>44</v>
      </c>
      <c r="F126">
        <v>2022</v>
      </c>
      <c r="G126">
        <v>11</v>
      </c>
      <c r="H126">
        <v>56</v>
      </c>
      <c r="I126">
        <f>VLOOKUP($B126,wau!$A:$D,4,0)</f>
        <v>214</v>
      </c>
      <c r="J126">
        <f>VLOOKUP($C126,mau!$A:$D,4,0)</f>
        <v>426</v>
      </c>
      <c r="K126" s="3">
        <f t="shared" si="2"/>
        <v>0.26168224299065418</v>
      </c>
      <c r="L126" s="3">
        <f t="shared" si="3"/>
        <v>0.13145539906103287</v>
      </c>
    </row>
    <row r="127" spans="1:12" x14ac:dyDescent="0.25">
      <c r="A127" s="1">
        <v>44869</v>
      </c>
      <c r="B127" s="1">
        <v>44865</v>
      </c>
      <c r="C127" s="1">
        <v>44866</v>
      </c>
      <c r="D127">
        <v>2022</v>
      </c>
      <c r="E127">
        <v>44</v>
      </c>
      <c r="F127">
        <v>2022</v>
      </c>
      <c r="G127">
        <v>11</v>
      </c>
      <c r="H127">
        <v>63</v>
      </c>
      <c r="I127">
        <f>VLOOKUP($B127,wau!$A:$D,4,0)</f>
        <v>214</v>
      </c>
      <c r="J127">
        <f>VLOOKUP($C127,mau!$A:$D,4,0)</f>
        <v>426</v>
      </c>
      <c r="K127" s="3">
        <f t="shared" si="2"/>
        <v>0.29439252336448596</v>
      </c>
      <c r="L127" s="3">
        <f t="shared" si="3"/>
        <v>0.14788732394366197</v>
      </c>
    </row>
    <row r="128" spans="1:12" x14ac:dyDescent="0.25">
      <c r="A128" s="1">
        <v>44870</v>
      </c>
      <c r="B128" s="1">
        <v>44865</v>
      </c>
      <c r="C128" s="1">
        <v>44866</v>
      </c>
      <c r="D128">
        <v>2022</v>
      </c>
      <c r="E128">
        <v>44</v>
      </c>
      <c r="F128">
        <v>2022</v>
      </c>
      <c r="G128">
        <v>11</v>
      </c>
      <c r="H128">
        <v>69</v>
      </c>
      <c r="I128">
        <f>VLOOKUP($B128,wau!$A:$D,4,0)</f>
        <v>214</v>
      </c>
      <c r="J128">
        <f>VLOOKUP($C128,mau!$A:$D,4,0)</f>
        <v>426</v>
      </c>
      <c r="K128" s="3">
        <f t="shared" si="2"/>
        <v>0.32242990654205606</v>
      </c>
      <c r="L128" s="3">
        <f t="shared" si="3"/>
        <v>0.1619718309859155</v>
      </c>
    </row>
    <row r="129" spans="1:12" x14ac:dyDescent="0.25">
      <c r="A129" s="1">
        <v>44871</v>
      </c>
      <c r="B129" s="1">
        <v>44865</v>
      </c>
      <c r="C129" s="1">
        <v>44866</v>
      </c>
      <c r="D129">
        <v>2022</v>
      </c>
      <c r="E129">
        <v>44</v>
      </c>
      <c r="F129">
        <v>2022</v>
      </c>
      <c r="G129">
        <v>11</v>
      </c>
      <c r="H129">
        <v>62</v>
      </c>
      <c r="I129">
        <f>VLOOKUP($B129,wau!$A:$D,4,0)</f>
        <v>214</v>
      </c>
      <c r="J129">
        <f>VLOOKUP($C129,mau!$A:$D,4,0)</f>
        <v>426</v>
      </c>
      <c r="K129" s="3">
        <f t="shared" si="2"/>
        <v>0.28971962616822428</v>
      </c>
      <c r="L129" s="3">
        <f t="shared" si="3"/>
        <v>0.14553990610328638</v>
      </c>
    </row>
    <row r="130" spans="1:12" x14ac:dyDescent="0.25">
      <c r="A130" s="1">
        <v>44872</v>
      </c>
      <c r="B130" s="1">
        <v>44872</v>
      </c>
      <c r="C130" s="1">
        <v>44866</v>
      </c>
      <c r="D130">
        <v>2022</v>
      </c>
      <c r="E130">
        <v>45</v>
      </c>
      <c r="F130">
        <v>2022</v>
      </c>
      <c r="G130">
        <v>11</v>
      </c>
      <c r="H130">
        <v>60</v>
      </c>
      <c r="I130">
        <f>VLOOKUP($B130,wau!$A:$D,4,0)</f>
        <v>203</v>
      </c>
      <c r="J130">
        <f>VLOOKUP($C130,mau!$A:$D,4,0)</f>
        <v>426</v>
      </c>
      <c r="K130" s="3">
        <f t="shared" si="2"/>
        <v>0.29556650246305421</v>
      </c>
      <c r="L130" s="3">
        <f t="shared" si="3"/>
        <v>0.14084507042253522</v>
      </c>
    </row>
    <row r="131" spans="1:12" x14ac:dyDescent="0.25">
      <c r="A131" s="1">
        <v>44873</v>
      </c>
      <c r="B131" s="1">
        <v>44872</v>
      </c>
      <c r="C131" s="1">
        <v>44866</v>
      </c>
      <c r="D131">
        <v>2022</v>
      </c>
      <c r="E131">
        <v>45</v>
      </c>
      <c r="F131">
        <v>2022</v>
      </c>
      <c r="G131">
        <v>11</v>
      </c>
      <c r="H131">
        <v>60</v>
      </c>
      <c r="I131">
        <f>VLOOKUP($B131,wau!$A:$D,4,0)</f>
        <v>203</v>
      </c>
      <c r="J131">
        <f>VLOOKUP($C131,mau!$A:$D,4,0)</f>
        <v>426</v>
      </c>
      <c r="K131" s="3">
        <f t="shared" ref="K131:K194" si="4">IFERROR(H131/I131,"")</f>
        <v>0.29556650246305421</v>
      </c>
      <c r="L131" s="3">
        <f t="shared" ref="L131:L194" si="5">IFERROR(H131/J131,"")</f>
        <v>0.14084507042253522</v>
      </c>
    </row>
    <row r="132" spans="1:12" x14ac:dyDescent="0.25">
      <c r="A132" s="1">
        <v>44874</v>
      </c>
      <c r="B132" s="1">
        <v>44872</v>
      </c>
      <c r="C132" s="1">
        <v>44866</v>
      </c>
      <c r="D132">
        <v>2022</v>
      </c>
      <c r="E132">
        <v>45</v>
      </c>
      <c r="F132">
        <v>2022</v>
      </c>
      <c r="G132">
        <v>11</v>
      </c>
      <c r="H132">
        <v>60</v>
      </c>
      <c r="I132">
        <f>VLOOKUP($B132,wau!$A:$D,4,0)</f>
        <v>203</v>
      </c>
      <c r="J132">
        <f>VLOOKUP($C132,mau!$A:$D,4,0)</f>
        <v>426</v>
      </c>
      <c r="K132" s="3">
        <f t="shared" si="4"/>
        <v>0.29556650246305421</v>
      </c>
      <c r="L132" s="3">
        <f t="shared" si="5"/>
        <v>0.14084507042253522</v>
      </c>
    </row>
    <row r="133" spans="1:12" x14ac:dyDescent="0.25">
      <c r="A133" s="1">
        <v>44875</v>
      </c>
      <c r="B133" s="1">
        <v>44872</v>
      </c>
      <c r="C133" s="1">
        <v>44866</v>
      </c>
      <c r="D133">
        <v>2022</v>
      </c>
      <c r="E133">
        <v>45</v>
      </c>
      <c r="F133">
        <v>2022</v>
      </c>
      <c r="G133">
        <v>11</v>
      </c>
      <c r="H133">
        <v>55</v>
      </c>
      <c r="I133">
        <f>VLOOKUP($B133,wau!$A:$D,4,0)</f>
        <v>203</v>
      </c>
      <c r="J133">
        <f>VLOOKUP($C133,mau!$A:$D,4,0)</f>
        <v>426</v>
      </c>
      <c r="K133" s="3">
        <f t="shared" si="4"/>
        <v>0.27093596059113301</v>
      </c>
      <c r="L133" s="3">
        <f t="shared" si="5"/>
        <v>0.12910798122065728</v>
      </c>
    </row>
    <row r="134" spans="1:12" x14ac:dyDescent="0.25">
      <c r="A134" s="1">
        <v>44876</v>
      </c>
      <c r="B134" s="1">
        <v>44872</v>
      </c>
      <c r="C134" s="1">
        <v>44866</v>
      </c>
      <c r="D134">
        <v>2022</v>
      </c>
      <c r="E134">
        <v>45</v>
      </c>
      <c r="F134">
        <v>2022</v>
      </c>
      <c r="G134">
        <v>11</v>
      </c>
      <c r="H134">
        <v>62</v>
      </c>
      <c r="I134">
        <f>VLOOKUP($B134,wau!$A:$D,4,0)</f>
        <v>203</v>
      </c>
      <c r="J134">
        <f>VLOOKUP($C134,mau!$A:$D,4,0)</f>
        <v>426</v>
      </c>
      <c r="K134" s="3">
        <f t="shared" si="4"/>
        <v>0.30541871921182268</v>
      </c>
      <c r="L134" s="3">
        <f t="shared" si="5"/>
        <v>0.14553990610328638</v>
      </c>
    </row>
    <row r="135" spans="1:12" x14ac:dyDescent="0.25">
      <c r="A135" s="1">
        <v>44877</v>
      </c>
      <c r="B135" s="1">
        <v>44872</v>
      </c>
      <c r="C135" s="1">
        <v>44866</v>
      </c>
      <c r="D135">
        <v>2022</v>
      </c>
      <c r="E135">
        <v>45</v>
      </c>
      <c r="F135">
        <v>2022</v>
      </c>
      <c r="G135">
        <v>11</v>
      </c>
      <c r="H135">
        <v>53</v>
      </c>
      <c r="I135">
        <f>VLOOKUP($B135,wau!$A:$D,4,0)</f>
        <v>203</v>
      </c>
      <c r="J135">
        <f>VLOOKUP($C135,mau!$A:$D,4,0)</f>
        <v>426</v>
      </c>
      <c r="K135" s="3">
        <f t="shared" si="4"/>
        <v>0.26108374384236455</v>
      </c>
      <c r="L135" s="3">
        <f t="shared" si="5"/>
        <v>0.12441314553990611</v>
      </c>
    </row>
    <row r="136" spans="1:12" x14ac:dyDescent="0.25">
      <c r="A136" s="1">
        <v>44878</v>
      </c>
      <c r="B136" s="1">
        <v>44872</v>
      </c>
      <c r="C136" s="1">
        <v>44866</v>
      </c>
      <c r="D136">
        <v>2022</v>
      </c>
      <c r="E136">
        <v>45</v>
      </c>
      <c r="F136">
        <v>2022</v>
      </c>
      <c r="G136">
        <v>11</v>
      </c>
      <c r="H136">
        <v>54</v>
      </c>
      <c r="I136">
        <f>VLOOKUP($B136,wau!$A:$D,4,0)</f>
        <v>203</v>
      </c>
      <c r="J136">
        <f>VLOOKUP($C136,mau!$A:$D,4,0)</f>
        <v>426</v>
      </c>
      <c r="K136" s="3">
        <f t="shared" si="4"/>
        <v>0.26600985221674878</v>
      </c>
      <c r="L136" s="3">
        <f t="shared" si="5"/>
        <v>0.12676056338028169</v>
      </c>
    </row>
    <row r="137" spans="1:12" x14ac:dyDescent="0.25">
      <c r="A137" s="1">
        <v>44879</v>
      </c>
      <c r="B137" s="1">
        <v>44879</v>
      </c>
      <c r="C137" s="1">
        <v>44866</v>
      </c>
      <c r="D137">
        <v>2022</v>
      </c>
      <c r="E137">
        <v>46</v>
      </c>
      <c r="F137">
        <v>2022</v>
      </c>
      <c r="G137">
        <v>11</v>
      </c>
      <c r="H137">
        <v>46</v>
      </c>
      <c r="I137">
        <f>VLOOKUP($B137,wau!$A:$D,4,0)</f>
        <v>202</v>
      </c>
      <c r="J137">
        <f>VLOOKUP($C137,mau!$A:$D,4,0)</f>
        <v>426</v>
      </c>
      <c r="K137" s="3">
        <f t="shared" si="4"/>
        <v>0.22772277227722773</v>
      </c>
      <c r="L137" s="3">
        <f t="shared" si="5"/>
        <v>0.107981220657277</v>
      </c>
    </row>
    <row r="138" spans="1:12" x14ac:dyDescent="0.25">
      <c r="A138" s="1">
        <v>44880</v>
      </c>
      <c r="B138" s="1">
        <v>44879</v>
      </c>
      <c r="C138" s="1">
        <v>44866</v>
      </c>
      <c r="D138">
        <v>2022</v>
      </c>
      <c r="E138">
        <v>46</v>
      </c>
      <c r="F138">
        <v>2022</v>
      </c>
      <c r="G138">
        <v>11</v>
      </c>
      <c r="H138">
        <v>55</v>
      </c>
      <c r="I138">
        <f>VLOOKUP($B138,wau!$A:$D,4,0)</f>
        <v>202</v>
      </c>
      <c r="J138">
        <f>VLOOKUP($C138,mau!$A:$D,4,0)</f>
        <v>426</v>
      </c>
      <c r="K138" s="3">
        <f t="shared" si="4"/>
        <v>0.2722772277227723</v>
      </c>
      <c r="L138" s="3">
        <f t="shared" si="5"/>
        <v>0.12910798122065728</v>
      </c>
    </row>
    <row r="139" spans="1:12" x14ac:dyDescent="0.25">
      <c r="A139" s="1">
        <v>44881</v>
      </c>
      <c r="B139" s="1">
        <v>44879</v>
      </c>
      <c r="C139" s="1">
        <v>44866</v>
      </c>
      <c r="D139">
        <v>2022</v>
      </c>
      <c r="E139">
        <v>46</v>
      </c>
      <c r="F139">
        <v>2022</v>
      </c>
      <c r="G139">
        <v>11</v>
      </c>
      <c r="H139">
        <v>51</v>
      </c>
      <c r="I139">
        <f>VLOOKUP($B139,wau!$A:$D,4,0)</f>
        <v>202</v>
      </c>
      <c r="J139">
        <f>VLOOKUP($C139,mau!$A:$D,4,0)</f>
        <v>426</v>
      </c>
      <c r="K139" s="3">
        <f t="shared" si="4"/>
        <v>0.25247524752475248</v>
      </c>
      <c r="L139" s="3">
        <f t="shared" si="5"/>
        <v>0.11971830985915492</v>
      </c>
    </row>
    <row r="140" spans="1:12" x14ac:dyDescent="0.25">
      <c r="A140" s="1">
        <v>44882</v>
      </c>
      <c r="B140" s="1">
        <v>44879</v>
      </c>
      <c r="C140" s="1">
        <v>44866</v>
      </c>
      <c r="D140">
        <v>2022</v>
      </c>
      <c r="E140">
        <v>46</v>
      </c>
      <c r="F140">
        <v>2022</v>
      </c>
      <c r="G140">
        <v>11</v>
      </c>
      <c r="H140">
        <v>58</v>
      </c>
      <c r="I140">
        <f>VLOOKUP($B140,wau!$A:$D,4,0)</f>
        <v>202</v>
      </c>
      <c r="J140">
        <f>VLOOKUP($C140,mau!$A:$D,4,0)</f>
        <v>426</v>
      </c>
      <c r="K140" s="3">
        <f t="shared" si="4"/>
        <v>0.28712871287128711</v>
      </c>
      <c r="L140" s="3">
        <f t="shared" si="5"/>
        <v>0.13615023474178403</v>
      </c>
    </row>
    <row r="141" spans="1:12" x14ac:dyDescent="0.25">
      <c r="A141" s="1">
        <v>44883</v>
      </c>
      <c r="B141" s="1">
        <v>44879</v>
      </c>
      <c r="C141" s="1">
        <v>44866</v>
      </c>
      <c r="D141">
        <v>2022</v>
      </c>
      <c r="E141">
        <v>46</v>
      </c>
      <c r="F141">
        <v>2022</v>
      </c>
      <c r="G141">
        <v>11</v>
      </c>
      <c r="H141">
        <v>51</v>
      </c>
      <c r="I141">
        <f>VLOOKUP($B141,wau!$A:$D,4,0)</f>
        <v>202</v>
      </c>
      <c r="J141">
        <f>VLOOKUP($C141,mau!$A:$D,4,0)</f>
        <v>426</v>
      </c>
      <c r="K141" s="3">
        <f t="shared" si="4"/>
        <v>0.25247524752475248</v>
      </c>
      <c r="L141" s="3">
        <f t="shared" si="5"/>
        <v>0.11971830985915492</v>
      </c>
    </row>
    <row r="142" spans="1:12" x14ac:dyDescent="0.25">
      <c r="A142" s="1">
        <v>44884</v>
      </c>
      <c r="B142" s="1">
        <v>44879</v>
      </c>
      <c r="C142" s="1">
        <v>44866</v>
      </c>
      <c r="D142">
        <v>2022</v>
      </c>
      <c r="E142">
        <v>46</v>
      </c>
      <c r="F142">
        <v>2022</v>
      </c>
      <c r="G142">
        <v>11</v>
      </c>
      <c r="H142">
        <v>40</v>
      </c>
      <c r="I142">
        <f>VLOOKUP($B142,wau!$A:$D,4,0)</f>
        <v>202</v>
      </c>
      <c r="J142">
        <f>VLOOKUP($C142,mau!$A:$D,4,0)</f>
        <v>426</v>
      </c>
      <c r="K142" s="3">
        <f t="shared" si="4"/>
        <v>0.19801980198019803</v>
      </c>
      <c r="L142" s="3">
        <f t="shared" si="5"/>
        <v>9.3896713615023469E-2</v>
      </c>
    </row>
    <row r="143" spans="1:12" x14ac:dyDescent="0.25">
      <c r="A143" s="1">
        <v>44885</v>
      </c>
      <c r="B143" s="1">
        <v>44879</v>
      </c>
      <c r="C143" s="1">
        <v>44866</v>
      </c>
      <c r="D143">
        <v>2022</v>
      </c>
      <c r="E143">
        <v>46</v>
      </c>
      <c r="F143">
        <v>2022</v>
      </c>
      <c r="G143">
        <v>11</v>
      </c>
      <c r="H143">
        <v>50</v>
      </c>
      <c r="I143">
        <f>VLOOKUP($B143,wau!$A:$D,4,0)</f>
        <v>202</v>
      </c>
      <c r="J143">
        <f>VLOOKUP($C143,mau!$A:$D,4,0)</f>
        <v>426</v>
      </c>
      <c r="K143" s="3">
        <f t="shared" si="4"/>
        <v>0.24752475247524752</v>
      </c>
      <c r="L143" s="3">
        <f t="shared" si="5"/>
        <v>0.11737089201877934</v>
      </c>
    </row>
    <row r="144" spans="1:12" x14ac:dyDescent="0.25">
      <c r="A144" s="1">
        <v>44886</v>
      </c>
      <c r="B144" s="1">
        <v>44886</v>
      </c>
      <c r="C144" s="1">
        <v>44866</v>
      </c>
      <c r="D144">
        <v>2022</v>
      </c>
      <c r="E144">
        <v>47</v>
      </c>
      <c r="F144">
        <v>2022</v>
      </c>
      <c r="G144">
        <v>11</v>
      </c>
      <c r="H144">
        <v>34</v>
      </c>
      <c r="I144">
        <f>VLOOKUP($B144,wau!$A:$D,4,0)</f>
        <v>167</v>
      </c>
      <c r="J144">
        <f>VLOOKUP($C144,mau!$A:$D,4,0)</f>
        <v>426</v>
      </c>
      <c r="K144" s="3">
        <f t="shared" si="4"/>
        <v>0.20359281437125748</v>
      </c>
      <c r="L144" s="3">
        <f t="shared" si="5"/>
        <v>7.9812206572769953E-2</v>
      </c>
    </row>
    <row r="145" spans="1:12" x14ac:dyDescent="0.25">
      <c r="A145" s="1">
        <v>44887</v>
      </c>
      <c r="B145" s="1">
        <v>44886</v>
      </c>
      <c r="C145" s="1">
        <v>44866</v>
      </c>
      <c r="D145">
        <v>2022</v>
      </c>
      <c r="E145">
        <v>47</v>
      </c>
      <c r="F145">
        <v>2022</v>
      </c>
      <c r="G145">
        <v>11</v>
      </c>
      <c r="H145">
        <v>41</v>
      </c>
      <c r="I145">
        <f>VLOOKUP($B145,wau!$A:$D,4,0)</f>
        <v>167</v>
      </c>
      <c r="J145">
        <f>VLOOKUP($C145,mau!$A:$D,4,0)</f>
        <v>426</v>
      </c>
      <c r="K145" s="3">
        <f t="shared" si="4"/>
        <v>0.24550898203592814</v>
      </c>
      <c r="L145" s="3">
        <f t="shared" si="5"/>
        <v>9.6244131455399062E-2</v>
      </c>
    </row>
    <row r="146" spans="1:12" x14ac:dyDescent="0.25">
      <c r="A146" s="1">
        <v>44888</v>
      </c>
      <c r="B146" s="1">
        <v>44886</v>
      </c>
      <c r="C146" s="1">
        <v>44866</v>
      </c>
      <c r="D146">
        <v>2022</v>
      </c>
      <c r="E146">
        <v>47</v>
      </c>
      <c r="F146">
        <v>2022</v>
      </c>
      <c r="G146">
        <v>11</v>
      </c>
      <c r="H146">
        <v>39</v>
      </c>
      <c r="I146">
        <f>VLOOKUP($B146,wau!$A:$D,4,0)</f>
        <v>167</v>
      </c>
      <c r="J146">
        <f>VLOOKUP($C146,mau!$A:$D,4,0)</f>
        <v>426</v>
      </c>
      <c r="K146" s="3">
        <f t="shared" si="4"/>
        <v>0.23353293413173654</v>
      </c>
      <c r="L146" s="3">
        <f t="shared" si="5"/>
        <v>9.154929577464789E-2</v>
      </c>
    </row>
    <row r="147" spans="1:12" x14ac:dyDescent="0.25">
      <c r="A147" s="1">
        <v>44889</v>
      </c>
      <c r="B147" s="1">
        <v>44886</v>
      </c>
      <c r="C147" s="1">
        <v>44866</v>
      </c>
      <c r="D147">
        <v>2022</v>
      </c>
      <c r="E147">
        <v>47</v>
      </c>
      <c r="F147">
        <v>2022</v>
      </c>
      <c r="G147">
        <v>11</v>
      </c>
      <c r="H147">
        <v>32</v>
      </c>
      <c r="I147">
        <f>VLOOKUP($B147,wau!$A:$D,4,0)</f>
        <v>167</v>
      </c>
      <c r="J147">
        <f>VLOOKUP($C147,mau!$A:$D,4,0)</f>
        <v>426</v>
      </c>
      <c r="K147" s="3">
        <f t="shared" si="4"/>
        <v>0.19161676646706588</v>
      </c>
      <c r="L147" s="3">
        <f t="shared" si="5"/>
        <v>7.5117370892018781E-2</v>
      </c>
    </row>
    <row r="148" spans="1:12" x14ac:dyDescent="0.25">
      <c r="A148" s="1">
        <v>44890</v>
      </c>
      <c r="B148" s="1">
        <v>44886</v>
      </c>
      <c r="C148" s="1">
        <v>44866</v>
      </c>
      <c r="D148">
        <v>2022</v>
      </c>
      <c r="E148">
        <v>47</v>
      </c>
      <c r="F148">
        <v>2022</v>
      </c>
      <c r="G148">
        <v>11</v>
      </c>
      <c r="H148">
        <v>32</v>
      </c>
      <c r="I148">
        <f>VLOOKUP($B148,wau!$A:$D,4,0)</f>
        <v>167</v>
      </c>
      <c r="J148">
        <f>VLOOKUP($C148,mau!$A:$D,4,0)</f>
        <v>426</v>
      </c>
      <c r="K148" s="3">
        <f t="shared" si="4"/>
        <v>0.19161676646706588</v>
      </c>
      <c r="L148" s="3">
        <f t="shared" si="5"/>
        <v>7.5117370892018781E-2</v>
      </c>
    </row>
    <row r="149" spans="1:12" x14ac:dyDescent="0.25">
      <c r="A149" s="1">
        <v>44891</v>
      </c>
      <c r="B149" s="1">
        <v>44886</v>
      </c>
      <c r="C149" s="1">
        <v>44866</v>
      </c>
      <c r="D149">
        <v>2022</v>
      </c>
      <c r="E149">
        <v>47</v>
      </c>
      <c r="F149">
        <v>2022</v>
      </c>
      <c r="G149">
        <v>11</v>
      </c>
      <c r="H149">
        <v>31</v>
      </c>
      <c r="I149">
        <f>VLOOKUP($B149,wau!$A:$D,4,0)</f>
        <v>167</v>
      </c>
      <c r="J149">
        <f>VLOOKUP($C149,mau!$A:$D,4,0)</f>
        <v>426</v>
      </c>
      <c r="K149" s="3">
        <f t="shared" si="4"/>
        <v>0.18562874251497005</v>
      </c>
      <c r="L149" s="3">
        <f t="shared" si="5"/>
        <v>7.2769953051643188E-2</v>
      </c>
    </row>
    <row r="150" spans="1:12" x14ac:dyDescent="0.25">
      <c r="A150" s="1">
        <v>44892</v>
      </c>
      <c r="B150" s="1">
        <v>44886</v>
      </c>
      <c r="C150" s="1">
        <v>44866</v>
      </c>
      <c r="D150">
        <v>2022</v>
      </c>
      <c r="E150">
        <v>47</v>
      </c>
      <c r="F150">
        <v>2022</v>
      </c>
      <c r="G150">
        <v>11</v>
      </c>
      <c r="H150">
        <v>35</v>
      </c>
      <c r="I150">
        <f>VLOOKUP($B150,wau!$A:$D,4,0)</f>
        <v>167</v>
      </c>
      <c r="J150">
        <f>VLOOKUP($C150,mau!$A:$D,4,0)</f>
        <v>426</v>
      </c>
      <c r="K150" s="3">
        <f t="shared" si="4"/>
        <v>0.20958083832335328</v>
      </c>
      <c r="L150" s="3">
        <f t="shared" si="5"/>
        <v>8.2159624413145546E-2</v>
      </c>
    </row>
    <row r="151" spans="1:12" x14ac:dyDescent="0.25">
      <c r="A151" s="1">
        <v>44893</v>
      </c>
      <c r="B151" s="1">
        <v>44893</v>
      </c>
      <c r="C151" s="1">
        <v>44866</v>
      </c>
      <c r="D151">
        <v>2022</v>
      </c>
      <c r="E151">
        <v>48</v>
      </c>
      <c r="F151">
        <v>2022</v>
      </c>
      <c r="G151">
        <v>11</v>
      </c>
      <c r="H151">
        <v>32</v>
      </c>
      <c r="I151">
        <f>VLOOKUP($B151,wau!$A:$D,4,0)</f>
        <v>157</v>
      </c>
      <c r="J151">
        <f>VLOOKUP($C151,mau!$A:$D,4,0)</f>
        <v>426</v>
      </c>
      <c r="K151" s="3">
        <f t="shared" si="4"/>
        <v>0.20382165605095542</v>
      </c>
      <c r="L151" s="3">
        <f t="shared" si="5"/>
        <v>7.5117370892018781E-2</v>
      </c>
    </row>
    <row r="152" spans="1:12" x14ac:dyDescent="0.25">
      <c r="A152" s="1">
        <v>44894</v>
      </c>
      <c r="B152" s="1">
        <v>44893</v>
      </c>
      <c r="C152" s="1">
        <v>44866</v>
      </c>
      <c r="D152">
        <v>2022</v>
      </c>
      <c r="E152">
        <v>48</v>
      </c>
      <c r="F152">
        <v>2022</v>
      </c>
      <c r="G152">
        <v>11</v>
      </c>
      <c r="H152">
        <v>23</v>
      </c>
      <c r="I152">
        <f>VLOOKUP($B152,wau!$A:$D,4,0)</f>
        <v>157</v>
      </c>
      <c r="J152">
        <f>VLOOKUP($C152,mau!$A:$D,4,0)</f>
        <v>426</v>
      </c>
      <c r="K152" s="3">
        <f t="shared" si="4"/>
        <v>0.1464968152866242</v>
      </c>
      <c r="L152" s="3">
        <f t="shared" si="5"/>
        <v>5.39906103286385E-2</v>
      </c>
    </row>
    <row r="153" spans="1:12" x14ac:dyDescent="0.25">
      <c r="A153" s="1">
        <v>44895</v>
      </c>
      <c r="B153" s="1">
        <v>44893</v>
      </c>
      <c r="C153" s="1">
        <v>44866</v>
      </c>
      <c r="D153">
        <v>2022</v>
      </c>
      <c r="E153">
        <v>48</v>
      </c>
      <c r="F153">
        <v>2022</v>
      </c>
      <c r="G153">
        <v>11</v>
      </c>
      <c r="H153">
        <v>35</v>
      </c>
      <c r="I153">
        <f>VLOOKUP($B153,wau!$A:$D,4,0)</f>
        <v>157</v>
      </c>
      <c r="J153">
        <f>VLOOKUP($C153,mau!$A:$D,4,0)</f>
        <v>426</v>
      </c>
      <c r="K153" s="3">
        <f t="shared" si="4"/>
        <v>0.22292993630573249</v>
      </c>
      <c r="L153" s="3">
        <f t="shared" si="5"/>
        <v>8.2159624413145546E-2</v>
      </c>
    </row>
    <row r="154" spans="1:12" x14ac:dyDescent="0.25">
      <c r="A154" s="1">
        <v>44896</v>
      </c>
      <c r="B154" s="1">
        <v>44893</v>
      </c>
      <c r="C154" s="1">
        <v>44896</v>
      </c>
      <c r="D154">
        <v>2022</v>
      </c>
      <c r="E154">
        <v>48</v>
      </c>
      <c r="F154">
        <v>2022</v>
      </c>
      <c r="G154">
        <v>12</v>
      </c>
      <c r="H154">
        <v>32</v>
      </c>
      <c r="I154">
        <f>VLOOKUP($B154,wau!$A:$D,4,0)</f>
        <v>157</v>
      </c>
      <c r="J154">
        <f>VLOOKUP($C154,mau!$A:$D,4,0)</f>
        <v>390</v>
      </c>
      <c r="K154" s="3">
        <f t="shared" si="4"/>
        <v>0.20382165605095542</v>
      </c>
      <c r="L154" s="3">
        <f t="shared" si="5"/>
        <v>8.2051282051282051E-2</v>
      </c>
    </row>
    <row r="155" spans="1:12" x14ac:dyDescent="0.25">
      <c r="A155" s="1">
        <v>44897</v>
      </c>
      <c r="B155" s="1">
        <v>44893</v>
      </c>
      <c r="C155" s="1">
        <v>44896</v>
      </c>
      <c r="D155">
        <v>2022</v>
      </c>
      <c r="E155">
        <v>48</v>
      </c>
      <c r="F155">
        <v>2022</v>
      </c>
      <c r="G155">
        <v>12</v>
      </c>
      <c r="H155">
        <v>25</v>
      </c>
      <c r="I155">
        <f>VLOOKUP($B155,wau!$A:$D,4,0)</f>
        <v>157</v>
      </c>
      <c r="J155">
        <f>VLOOKUP($C155,mau!$A:$D,4,0)</f>
        <v>390</v>
      </c>
      <c r="K155" s="3">
        <f t="shared" si="4"/>
        <v>0.15923566878980891</v>
      </c>
      <c r="L155" s="3">
        <f t="shared" si="5"/>
        <v>6.4102564102564097E-2</v>
      </c>
    </row>
    <row r="156" spans="1:12" x14ac:dyDescent="0.25">
      <c r="A156" s="1">
        <v>44898</v>
      </c>
      <c r="B156" s="1">
        <v>44893</v>
      </c>
      <c r="C156" s="1">
        <v>44896</v>
      </c>
      <c r="D156">
        <v>2022</v>
      </c>
      <c r="E156">
        <v>48</v>
      </c>
      <c r="F156">
        <v>2022</v>
      </c>
      <c r="G156">
        <v>12</v>
      </c>
      <c r="H156">
        <v>19</v>
      </c>
      <c r="I156">
        <f>VLOOKUP($B156,wau!$A:$D,4,0)</f>
        <v>157</v>
      </c>
      <c r="J156">
        <f>VLOOKUP($C156,mau!$A:$D,4,0)</f>
        <v>390</v>
      </c>
      <c r="K156" s="3">
        <f t="shared" si="4"/>
        <v>0.12101910828025478</v>
      </c>
      <c r="L156" s="3">
        <f t="shared" si="5"/>
        <v>4.8717948717948718E-2</v>
      </c>
    </row>
    <row r="157" spans="1:12" x14ac:dyDescent="0.25">
      <c r="A157" s="1">
        <v>44899</v>
      </c>
      <c r="B157" s="1">
        <v>44893</v>
      </c>
      <c r="C157" s="1">
        <v>44896</v>
      </c>
      <c r="D157">
        <v>2022</v>
      </c>
      <c r="E157">
        <v>48</v>
      </c>
      <c r="F157">
        <v>2022</v>
      </c>
      <c r="G157">
        <v>12</v>
      </c>
      <c r="H157">
        <v>30</v>
      </c>
      <c r="I157">
        <f>VLOOKUP($B157,wau!$A:$D,4,0)</f>
        <v>157</v>
      </c>
      <c r="J157">
        <f>VLOOKUP($C157,mau!$A:$D,4,0)</f>
        <v>390</v>
      </c>
      <c r="K157" s="3">
        <f t="shared" si="4"/>
        <v>0.19108280254777071</v>
      </c>
      <c r="L157" s="3">
        <f t="shared" si="5"/>
        <v>7.6923076923076927E-2</v>
      </c>
    </row>
    <row r="158" spans="1:12" x14ac:dyDescent="0.25">
      <c r="A158" s="1">
        <v>44900</v>
      </c>
      <c r="B158" s="1">
        <v>44900</v>
      </c>
      <c r="C158" s="1">
        <v>44896</v>
      </c>
      <c r="D158">
        <v>2022</v>
      </c>
      <c r="E158">
        <v>49</v>
      </c>
      <c r="F158">
        <v>2022</v>
      </c>
      <c r="G158">
        <v>12</v>
      </c>
      <c r="H158">
        <v>23</v>
      </c>
      <c r="I158">
        <f>VLOOKUP($B158,wau!$A:$D,4,0)</f>
        <v>156</v>
      </c>
      <c r="J158">
        <f>VLOOKUP($C158,mau!$A:$D,4,0)</f>
        <v>390</v>
      </c>
      <c r="K158" s="3">
        <f t="shared" si="4"/>
        <v>0.14743589743589744</v>
      </c>
      <c r="L158" s="3">
        <f t="shared" si="5"/>
        <v>5.8974358974358973E-2</v>
      </c>
    </row>
    <row r="159" spans="1:12" x14ac:dyDescent="0.25">
      <c r="A159" s="1">
        <v>44901</v>
      </c>
      <c r="B159" s="1">
        <v>44900</v>
      </c>
      <c r="C159" s="1">
        <v>44896</v>
      </c>
      <c r="D159">
        <v>2022</v>
      </c>
      <c r="E159">
        <v>49</v>
      </c>
      <c r="F159">
        <v>2022</v>
      </c>
      <c r="G159">
        <v>12</v>
      </c>
      <c r="H159">
        <v>32</v>
      </c>
      <c r="I159">
        <f>VLOOKUP($B159,wau!$A:$D,4,0)</f>
        <v>156</v>
      </c>
      <c r="J159">
        <f>VLOOKUP($C159,mau!$A:$D,4,0)</f>
        <v>390</v>
      </c>
      <c r="K159" s="3">
        <f t="shared" si="4"/>
        <v>0.20512820512820512</v>
      </c>
      <c r="L159" s="3">
        <f t="shared" si="5"/>
        <v>8.2051282051282051E-2</v>
      </c>
    </row>
    <row r="160" spans="1:12" x14ac:dyDescent="0.25">
      <c r="A160" s="1">
        <v>44902</v>
      </c>
      <c r="B160" s="1">
        <v>44900</v>
      </c>
      <c r="C160" s="1">
        <v>44896</v>
      </c>
      <c r="D160">
        <v>2022</v>
      </c>
      <c r="E160">
        <v>49</v>
      </c>
      <c r="F160">
        <v>2022</v>
      </c>
      <c r="G160">
        <v>12</v>
      </c>
      <c r="H160">
        <v>35</v>
      </c>
      <c r="I160">
        <f>VLOOKUP($B160,wau!$A:$D,4,0)</f>
        <v>156</v>
      </c>
      <c r="J160">
        <f>VLOOKUP($C160,mau!$A:$D,4,0)</f>
        <v>390</v>
      </c>
      <c r="K160" s="3">
        <f t="shared" si="4"/>
        <v>0.22435897435897437</v>
      </c>
      <c r="L160" s="3">
        <f t="shared" si="5"/>
        <v>8.9743589743589744E-2</v>
      </c>
    </row>
    <row r="161" spans="1:12" x14ac:dyDescent="0.25">
      <c r="A161" s="1">
        <v>44903</v>
      </c>
      <c r="B161" s="1">
        <v>44900</v>
      </c>
      <c r="C161" s="1">
        <v>44896</v>
      </c>
      <c r="D161">
        <v>2022</v>
      </c>
      <c r="E161">
        <v>49</v>
      </c>
      <c r="F161">
        <v>2022</v>
      </c>
      <c r="G161">
        <v>12</v>
      </c>
      <c r="H161">
        <v>29</v>
      </c>
      <c r="I161">
        <f>VLOOKUP($B161,wau!$A:$D,4,0)</f>
        <v>156</v>
      </c>
      <c r="J161">
        <f>VLOOKUP($C161,mau!$A:$D,4,0)</f>
        <v>390</v>
      </c>
      <c r="K161" s="3">
        <f t="shared" si="4"/>
        <v>0.1858974358974359</v>
      </c>
      <c r="L161" s="3">
        <f t="shared" si="5"/>
        <v>7.4358974358974358E-2</v>
      </c>
    </row>
    <row r="162" spans="1:12" x14ac:dyDescent="0.25">
      <c r="A162" s="1">
        <v>44904</v>
      </c>
      <c r="B162" s="1">
        <v>44900</v>
      </c>
      <c r="C162" s="1">
        <v>44896</v>
      </c>
      <c r="D162">
        <v>2022</v>
      </c>
      <c r="E162">
        <v>49</v>
      </c>
      <c r="F162">
        <v>2022</v>
      </c>
      <c r="G162">
        <v>12</v>
      </c>
      <c r="H162">
        <v>36</v>
      </c>
      <c r="I162">
        <f>VLOOKUP($B162,wau!$A:$D,4,0)</f>
        <v>156</v>
      </c>
      <c r="J162">
        <f>VLOOKUP($C162,mau!$A:$D,4,0)</f>
        <v>390</v>
      </c>
      <c r="K162" s="3">
        <f t="shared" si="4"/>
        <v>0.23076923076923078</v>
      </c>
      <c r="L162" s="3">
        <f t="shared" si="5"/>
        <v>9.2307692307692313E-2</v>
      </c>
    </row>
    <row r="163" spans="1:12" x14ac:dyDescent="0.25">
      <c r="A163" s="1">
        <v>44905</v>
      </c>
      <c r="B163" s="1">
        <v>44900</v>
      </c>
      <c r="C163" s="1">
        <v>44896</v>
      </c>
      <c r="D163">
        <v>2022</v>
      </c>
      <c r="E163">
        <v>49</v>
      </c>
      <c r="F163">
        <v>2022</v>
      </c>
      <c r="G163">
        <v>12</v>
      </c>
      <c r="H163">
        <v>30</v>
      </c>
      <c r="I163">
        <f>VLOOKUP($B163,wau!$A:$D,4,0)</f>
        <v>156</v>
      </c>
      <c r="J163">
        <f>VLOOKUP($C163,mau!$A:$D,4,0)</f>
        <v>390</v>
      </c>
      <c r="K163" s="3">
        <f t="shared" si="4"/>
        <v>0.19230769230769232</v>
      </c>
      <c r="L163" s="3">
        <f t="shared" si="5"/>
        <v>7.6923076923076927E-2</v>
      </c>
    </row>
    <row r="164" spans="1:12" x14ac:dyDescent="0.25">
      <c r="A164" s="1">
        <v>44906</v>
      </c>
      <c r="B164" s="1">
        <v>44900</v>
      </c>
      <c r="C164" s="1">
        <v>44896</v>
      </c>
      <c r="D164">
        <v>2022</v>
      </c>
      <c r="E164">
        <v>49</v>
      </c>
      <c r="F164">
        <v>2022</v>
      </c>
      <c r="G164">
        <v>12</v>
      </c>
      <c r="H164">
        <v>25</v>
      </c>
      <c r="I164">
        <f>VLOOKUP($B164,wau!$A:$D,4,0)</f>
        <v>156</v>
      </c>
      <c r="J164">
        <f>VLOOKUP($C164,mau!$A:$D,4,0)</f>
        <v>390</v>
      </c>
      <c r="K164" s="3">
        <f t="shared" si="4"/>
        <v>0.16025641025641027</v>
      </c>
      <c r="L164" s="3">
        <f t="shared" si="5"/>
        <v>6.4102564102564097E-2</v>
      </c>
    </row>
    <row r="165" spans="1:12" x14ac:dyDescent="0.25">
      <c r="A165" s="1">
        <v>44907</v>
      </c>
      <c r="B165" s="1">
        <v>44907</v>
      </c>
      <c r="C165" s="1">
        <v>44896</v>
      </c>
      <c r="D165">
        <v>2022</v>
      </c>
      <c r="E165">
        <v>50</v>
      </c>
      <c r="F165">
        <v>2022</v>
      </c>
      <c r="G165">
        <v>12</v>
      </c>
      <c r="H165">
        <v>31</v>
      </c>
      <c r="I165">
        <f>VLOOKUP($B165,wau!$A:$D,4,0)</f>
        <v>153</v>
      </c>
      <c r="J165">
        <f>VLOOKUP($C165,mau!$A:$D,4,0)</f>
        <v>390</v>
      </c>
      <c r="K165" s="3">
        <f t="shared" si="4"/>
        <v>0.20261437908496732</v>
      </c>
      <c r="L165" s="3">
        <f t="shared" si="5"/>
        <v>7.9487179487179482E-2</v>
      </c>
    </row>
    <row r="166" spans="1:12" x14ac:dyDescent="0.25">
      <c r="A166" s="1">
        <v>44908</v>
      </c>
      <c r="B166" s="1">
        <v>44907</v>
      </c>
      <c r="C166" s="1">
        <v>44896</v>
      </c>
      <c r="D166">
        <v>2022</v>
      </c>
      <c r="E166">
        <v>50</v>
      </c>
      <c r="F166">
        <v>2022</v>
      </c>
      <c r="G166">
        <v>12</v>
      </c>
      <c r="H166">
        <v>34</v>
      </c>
      <c r="I166">
        <f>VLOOKUP($B166,wau!$A:$D,4,0)</f>
        <v>153</v>
      </c>
      <c r="J166">
        <f>VLOOKUP($C166,mau!$A:$D,4,0)</f>
        <v>390</v>
      </c>
      <c r="K166" s="3">
        <f t="shared" si="4"/>
        <v>0.22222222222222221</v>
      </c>
      <c r="L166" s="3">
        <f t="shared" si="5"/>
        <v>8.7179487179487175E-2</v>
      </c>
    </row>
    <row r="167" spans="1:12" x14ac:dyDescent="0.25">
      <c r="A167" s="1">
        <v>44909</v>
      </c>
      <c r="B167" s="1">
        <v>44907</v>
      </c>
      <c r="C167" s="1">
        <v>44896</v>
      </c>
      <c r="D167">
        <v>2022</v>
      </c>
      <c r="E167">
        <v>50</v>
      </c>
      <c r="F167">
        <v>2022</v>
      </c>
      <c r="G167">
        <v>12</v>
      </c>
      <c r="H167">
        <v>22</v>
      </c>
      <c r="I167">
        <f>VLOOKUP($B167,wau!$A:$D,4,0)</f>
        <v>153</v>
      </c>
      <c r="J167">
        <f>VLOOKUP($C167,mau!$A:$D,4,0)</f>
        <v>390</v>
      </c>
      <c r="K167" s="3">
        <f t="shared" si="4"/>
        <v>0.1437908496732026</v>
      </c>
      <c r="L167" s="3">
        <f t="shared" si="5"/>
        <v>5.6410256410256411E-2</v>
      </c>
    </row>
    <row r="168" spans="1:12" x14ac:dyDescent="0.25">
      <c r="A168" s="1">
        <v>44910</v>
      </c>
      <c r="B168" s="1">
        <v>44907</v>
      </c>
      <c r="C168" s="1">
        <v>44896</v>
      </c>
      <c r="D168">
        <v>2022</v>
      </c>
      <c r="E168">
        <v>50</v>
      </c>
      <c r="F168">
        <v>2022</v>
      </c>
      <c r="G168">
        <v>12</v>
      </c>
      <c r="H168">
        <v>26</v>
      </c>
      <c r="I168">
        <f>VLOOKUP($B168,wau!$A:$D,4,0)</f>
        <v>153</v>
      </c>
      <c r="J168">
        <f>VLOOKUP($C168,mau!$A:$D,4,0)</f>
        <v>390</v>
      </c>
      <c r="K168" s="3">
        <f t="shared" si="4"/>
        <v>0.16993464052287582</v>
      </c>
      <c r="L168" s="3">
        <f t="shared" si="5"/>
        <v>6.6666666666666666E-2</v>
      </c>
    </row>
    <row r="169" spans="1:12" x14ac:dyDescent="0.25">
      <c r="A169" s="1">
        <v>44911</v>
      </c>
      <c r="B169" s="1">
        <v>44907</v>
      </c>
      <c r="C169" s="1">
        <v>44896</v>
      </c>
      <c r="D169">
        <v>2022</v>
      </c>
      <c r="E169">
        <v>50</v>
      </c>
      <c r="F169">
        <v>2022</v>
      </c>
      <c r="G169">
        <v>12</v>
      </c>
      <c r="H169">
        <v>27</v>
      </c>
      <c r="I169">
        <f>VLOOKUP($B169,wau!$A:$D,4,0)</f>
        <v>153</v>
      </c>
      <c r="J169">
        <f>VLOOKUP($C169,mau!$A:$D,4,0)</f>
        <v>390</v>
      </c>
      <c r="K169" s="3">
        <f t="shared" si="4"/>
        <v>0.17647058823529413</v>
      </c>
      <c r="L169" s="3">
        <f t="shared" si="5"/>
        <v>6.9230769230769235E-2</v>
      </c>
    </row>
    <row r="170" spans="1:12" x14ac:dyDescent="0.25">
      <c r="A170" s="1">
        <v>44912</v>
      </c>
      <c r="B170" s="1">
        <v>44907</v>
      </c>
      <c r="C170" s="1">
        <v>44896</v>
      </c>
      <c r="D170">
        <v>2022</v>
      </c>
      <c r="E170">
        <v>50</v>
      </c>
      <c r="F170">
        <v>2022</v>
      </c>
      <c r="G170">
        <v>12</v>
      </c>
      <c r="H170">
        <v>28</v>
      </c>
      <c r="I170">
        <f>VLOOKUP($B170,wau!$A:$D,4,0)</f>
        <v>153</v>
      </c>
      <c r="J170">
        <f>VLOOKUP($C170,mau!$A:$D,4,0)</f>
        <v>390</v>
      </c>
      <c r="K170" s="3">
        <f t="shared" si="4"/>
        <v>0.18300653594771241</v>
      </c>
      <c r="L170" s="3">
        <f t="shared" si="5"/>
        <v>7.179487179487179E-2</v>
      </c>
    </row>
    <row r="171" spans="1:12" x14ac:dyDescent="0.25">
      <c r="A171" s="1">
        <v>44913</v>
      </c>
      <c r="B171" s="1">
        <v>44907</v>
      </c>
      <c r="C171" s="1">
        <v>44896</v>
      </c>
      <c r="D171">
        <v>2022</v>
      </c>
      <c r="E171">
        <v>50</v>
      </c>
      <c r="F171">
        <v>2022</v>
      </c>
      <c r="G171">
        <v>12</v>
      </c>
      <c r="H171">
        <v>20</v>
      </c>
      <c r="I171">
        <f>VLOOKUP($B171,wau!$A:$D,4,0)</f>
        <v>153</v>
      </c>
      <c r="J171">
        <f>VLOOKUP($C171,mau!$A:$D,4,0)</f>
        <v>390</v>
      </c>
      <c r="K171" s="3">
        <f t="shared" si="4"/>
        <v>0.13071895424836602</v>
      </c>
      <c r="L171" s="3">
        <f t="shared" si="5"/>
        <v>5.128205128205128E-2</v>
      </c>
    </row>
    <row r="172" spans="1:12" x14ac:dyDescent="0.25">
      <c r="A172" s="1">
        <v>44914</v>
      </c>
      <c r="B172" s="1">
        <v>44914</v>
      </c>
      <c r="C172" s="1">
        <v>44896</v>
      </c>
      <c r="D172">
        <v>2022</v>
      </c>
      <c r="E172">
        <v>51</v>
      </c>
      <c r="F172">
        <v>2022</v>
      </c>
      <c r="G172">
        <v>12</v>
      </c>
      <c r="H172">
        <v>32</v>
      </c>
      <c r="I172">
        <f>VLOOKUP($B172,wau!$A:$D,4,0)</f>
        <v>145</v>
      </c>
      <c r="J172">
        <f>VLOOKUP($C172,mau!$A:$D,4,0)</f>
        <v>390</v>
      </c>
      <c r="K172" s="3">
        <f t="shared" si="4"/>
        <v>0.22068965517241379</v>
      </c>
      <c r="L172" s="3">
        <f t="shared" si="5"/>
        <v>8.2051282051282051E-2</v>
      </c>
    </row>
    <row r="173" spans="1:12" x14ac:dyDescent="0.25">
      <c r="A173" s="1">
        <v>44915</v>
      </c>
      <c r="B173" s="1">
        <v>44914</v>
      </c>
      <c r="C173" s="1">
        <v>44896</v>
      </c>
      <c r="D173">
        <v>2022</v>
      </c>
      <c r="E173">
        <v>51</v>
      </c>
      <c r="F173">
        <v>2022</v>
      </c>
      <c r="G173">
        <v>12</v>
      </c>
      <c r="H173">
        <v>28</v>
      </c>
      <c r="I173">
        <f>VLOOKUP($B173,wau!$A:$D,4,0)</f>
        <v>145</v>
      </c>
      <c r="J173">
        <f>VLOOKUP($C173,mau!$A:$D,4,0)</f>
        <v>390</v>
      </c>
      <c r="K173" s="3">
        <f t="shared" si="4"/>
        <v>0.19310344827586207</v>
      </c>
      <c r="L173" s="3">
        <f t="shared" si="5"/>
        <v>7.179487179487179E-2</v>
      </c>
    </row>
    <row r="174" spans="1:12" x14ac:dyDescent="0.25">
      <c r="A174" s="1">
        <v>44916</v>
      </c>
      <c r="B174" s="1">
        <v>44914</v>
      </c>
      <c r="C174" s="1">
        <v>44896</v>
      </c>
      <c r="D174">
        <v>2022</v>
      </c>
      <c r="E174">
        <v>51</v>
      </c>
      <c r="F174">
        <v>2022</v>
      </c>
      <c r="G174">
        <v>12</v>
      </c>
      <c r="H174">
        <v>28</v>
      </c>
      <c r="I174">
        <f>VLOOKUP($B174,wau!$A:$D,4,0)</f>
        <v>145</v>
      </c>
      <c r="J174">
        <f>VLOOKUP($C174,mau!$A:$D,4,0)</f>
        <v>390</v>
      </c>
      <c r="K174" s="3">
        <f t="shared" si="4"/>
        <v>0.19310344827586207</v>
      </c>
      <c r="L174" s="3">
        <f t="shared" si="5"/>
        <v>7.179487179487179E-2</v>
      </c>
    </row>
    <row r="175" spans="1:12" x14ac:dyDescent="0.25">
      <c r="A175" s="1">
        <v>44917</v>
      </c>
      <c r="B175" s="1">
        <v>44914</v>
      </c>
      <c r="C175" s="1">
        <v>44896</v>
      </c>
      <c r="D175">
        <v>2022</v>
      </c>
      <c r="E175">
        <v>51</v>
      </c>
      <c r="F175">
        <v>2022</v>
      </c>
      <c r="G175">
        <v>12</v>
      </c>
      <c r="H175">
        <v>29</v>
      </c>
      <c r="I175">
        <f>VLOOKUP($B175,wau!$A:$D,4,0)</f>
        <v>145</v>
      </c>
      <c r="J175">
        <f>VLOOKUP($C175,mau!$A:$D,4,0)</f>
        <v>390</v>
      </c>
      <c r="K175" s="3">
        <f t="shared" si="4"/>
        <v>0.2</v>
      </c>
      <c r="L175" s="3">
        <f t="shared" si="5"/>
        <v>7.4358974358974358E-2</v>
      </c>
    </row>
    <row r="176" spans="1:12" x14ac:dyDescent="0.25">
      <c r="A176" s="1">
        <v>44918</v>
      </c>
      <c r="B176" s="1">
        <v>44914</v>
      </c>
      <c r="C176" s="1">
        <v>44896</v>
      </c>
      <c r="D176">
        <v>2022</v>
      </c>
      <c r="E176">
        <v>51</v>
      </c>
      <c r="F176">
        <v>2022</v>
      </c>
      <c r="G176">
        <v>12</v>
      </c>
      <c r="H176">
        <v>36</v>
      </c>
      <c r="I176">
        <f>VLOOKUP($B176,wau!$A:$D,4,0)</f>
        <v>145</v>
      </c>
      <c r="J176">
        <f>VLOOKUP($C176,mau!$A:$D,4,0)</f>
        <v>390</v>
      </c>
      <c r="K176" s="3">
        <f t="shared" si="4"/>
        <v>0.24827586206896551</v>
      </c>
      <c r="L176" s="3">
        <f t="shared" si="5"/>
        <v>9.2307692307692313E-2</v>
      </c>
    </row>
    <row r="177" spans="1:12" x14ac:dyDescent="0.25">
      <c r="A177" s="1">
        <v>44919</v>
      </c>
      <c r="B177" s="1">
        <v>44914</v>
      </c>
      <c r="C177" s="1">
        <v>44896</v>
      </c>
      <c r="D177">
        <v>2022</v>
      </c>
      <c r="E177">
        <v>51</v>
      </c>
      <c r="F177">
        <v>2022</v>
      </c>
      <c r="G177">
        <v>12</v>
      </c>
      <c r="H177">
        <v>24</v>
      </c>
      <c r="I177">
        <f>VLOOKUP($B177,wau!$A:$D,4,0)</f>
        <v>145</v>
      </c>
      <c r="J177">
        <f>VLOOKUP($C177,mau!$A:$D,4,0)</f>
        <v>390</v>
      </c>
      <c r="K177" s="3">
        <f t="shared" si="4"/>
        <v>0.16551724137931034</v>
      </c>
      <c r="L177" s="3">
        <f t="shared" si="5"/>
        <v>6.1538461538461542E-2</v>
      </c>
    </row>
    <row r="178" spans="1:12" x14ac:dyDescent="0.25">
      <c r="A178" s="1">
        <v>44920</v>
      </c>
      <c r="B178" s="1">
        <v>44914</v>
      </c>
      <c r="C178" s="1">
        <v>44896</v>
      </c>
      <c r="D178">
        <v>2022</v>
      </c>
      <c r="E178">
        <v>51</v>
      </c>
      <c r="F178">
        <v>2022</v>
      </c>
      <c r="G178">
        <v>12</v>
      </c>
      <c r="H178">
        <v>33</v>
      </c>
      <c r="I178">
        <f>VLOOKUP($B178,wau!$A:$D,4,0)</f>
        <v>145</v>
      </c>
      <c r="J178">
        <f>VLOOKUP($C178,mau!$A:$D,4,0)</f>
        <v>390</v>
      </c>
      <c r="K178" s="3">
        <f t="shared" si="4"/>
        <v>0.22758620689655173</v>
      </c>
      <c r="L178" s="3">
        <f t="shared" si="5"/>
        <v>8.461538461538462E-2</v>
      </c>
    </row>
    <row r="179" spans="1:12" x14ac:dyDescent="0.25">
      <c r="A179" s="1">
        <v>44921</v>
      </c>
      <c r="B179" s="1">
        <v>44921</v>
      </c>
      <c r="C179" s="1">
        <v>44896</v>
      </c>
      <c r="D179">
        <v>2022</v>
      </c>
      <c r="E179">
        <v>52</v>
      </c>
      <c r="F179">
        <v>2022</v>
      </c>
      <c r="G179">
        <v>12</v>
      </c>
      <c r="H179">
        <v>26</v>
      </c>
      <c r="I179">
        <f>VLOOKUP($B179,wau!$A:$D,4,0)</f>
        <v>141</v>
      </c>
      <c r="J179">
        <f>VLOOKUP($C179,mau!$A:$D,4,0)</f>
        <v>390</v>
      </c>
      <c r="K179" s="3">
        <f t="shared" si="4"/>
        <v>0.18439716312056736</v>
      </c>
      <c r="L179" s="3">
        <f t="shared" si="5"/>
        <v>6.6666666666666666E-2</v>
      </c>
    </row>
    <row r="180" spans="1:12" x14ac:dyDescent="0.25">
      <c r="A180" s="1">
        <v>44922</v>
      </c>
      <c r="B180" s="1">
        <v>44921</v>
      </c>
      <c r="C180" s="1">
        <v>44896</v>
      </c>
      <c r="D180">
        <v>2022</v>
      </c>
      <c r="E180">
        <v>52</v>
      </c>
      <c r="F180">
        <v>2022</v>
      </c>
      <c r="G180">
        <v>12</v>
      </c>
      <c r="H180">
        <v>24</v>
      </c>
      <c r="I180">
        <f>VLOOKUP($B180,wau!$A:$D,4,0)</f>
        <v>141</v>
      </c>
      <c r="J180">
        <f>VLOOKUP($C180,mau!$A:$D,4,0)</f>
        <v>390</v>
      </c>
      <c r="K180" s="3">
        <f t="shared" si="4"/>
        <v>0.1702127659574468</v>
      </c>
      <c r="L180" s="3">
        <f t="shared" si="5"/>
        <v>6.1538461538461542E-2</v>
      </c>
    </row>
    <row r="181" spans="1:12" x14ac:dyDescent="0.25">
      <c r="A181" s="1">
        <v>44923</v>
      </c>
      <c r="B181" s="1">
        <v>44921</v>
      </c>
      <c r="C181" s="1">
        <v>44896</v>
      </c>
      <c r="D181">
        <v>2022</v>
      </c>
      <c r="E181">
        <v>52</v>
      </c>
      <c r="F181">
        <v>2022</v>
      </c>
      <c r="G181">
        <v>12</v>
      </c>
      <c r="H181">
        <v>32</v>
      </c>
      <c r="I181">
        <f>VLOOKUP($B181,wau!$A:$D,4,0)</f>
        <v>141</v>
      </c>
      <c r="J181">
        <f>VLOOKUP($C181,mau!$A:$D,4,0)</f>
        <v>390</v>
      </c>
      <c r="K181" s="3">
        <f t="shared" si="4"/>
        <v>0.22695035460992907</v>
      </c>
      <c r="L181" s="3">
        <f t="shared" si="5"/>
        <v>8.2051282051282051E-2</v>
      </c>
    </row>
    <row r="182" spans="1:12" x14ac:dyDescent="0.25">
      <c r="A182" s="1">
        <v>44924</v>
      </c>
      <c r="B182" s="1">
        <v>44921</v>
      </c>
      <c r="C182" s="1">
        <v>44896</v>
      </c>
      <c r="D182">
        <v>2022</v>
      </c>
      <c r="E182">
        <v>52</v>
      </c>
      <c r="F182">
        <v>2022</v>
      </c>
      <c r="G182">
        <v>12</v>
      </c>
      <c r="H182">
        <v>29</v>
      </c>
      <c r="I182">
        <f>VLOOKUP($B182,wau!$A:$D,4,0)</f>
        <v>141</v>
      </c>
      <c r="J182">
        <f>VLOOKUP($C182,mau!$A:$D,4,0)</f>
        <v>390</v>
      </c>
      <c r="K182" s="3">
        <f t="shared" si="4"/>
        <v>0.20567375886524822</v>
      </c>
      <c r="L182" s="3">
        <f t="shared" si="5"/>
        <v>7.4358974358974358E-2</v>
      </c>
    </row>
    <row r="183" spans="1:12" x14ac:dyDescent="0.25">
      <c r="A183" s="1">
        <v>44925</v>
      </c>
      <c r="B183" s="1">
        <v>44921</v>
      </c>
      <c r="C183" s="1">
        <v>44896</v>
      </c>
      <c r="D183">
        <v>2022</v>
      </c>
      <c r="E183">
        <v>52</v>
      </c>
      <c r="F183">
        <v>2022</v>
      </c>
      <c r="G183">
        <v>12</v>
      </c>
      <c r="H183">
        <v>22</v>
      </c>
      <c r="I183">
        <f>VLOOKUP($B183,wau!$A:$D,4,0)</f>
        <v>141</v>
      </c>
      <c r="J183">
        <f>VLOOKUP($C183,mau!$A:$D,4,0)</f>
        <v>390</v>
      </c>
      <c r="K183" s="3">
        <f t="shared" si="4"/>
        <v>0.15602836879432624</v>
      </c>
      <c r="L183" s="3">
        <f t="shared" si="5"/>
        <v>5.6410256410256411E-2</v>
      </c>
    </row>
    <row r="184" spans="1:12" x14ac:dyDescent="0.25">
      <c r="A184" s="1">
        <v>44926</v>
      </c>
      <c r="B184" s="1">
        <v>44921</v>
      </c>
      <c r="C184" s="1">
        <v>44896</v>
      </c>
      <c r="D184">
        <v>2022</v>
      </c>
      <c r="E184">
        <v>52</v>
      </c>
      <c r="F184">
        <v>2022</v>
      </c>
      <c r="G184">
        <v>12</v>
      </c>
      <c r="H184">
        <v>37</v>
      </c>
      <c r="I184">
        <f>VLOOKUP($B184,wau!$A:$D,4,0)</f>
        <v>141</v>
      </c>
      <c r="J184">
        <f>VLOOKUP($C184,mau!$A:$D,4,0)</f>
        <v>390</v>
      </c>
      <c r="K184" s="3">
        <f t="shared" si="4"/>
        <v>0.26241134751773049</v>
      </c>
      <c r="L184" s="3">
        <f t="shared" si="5"/>
        <v>9.4871794871794868E-2</v>
      </c>
    </row>
    <row r="185" spans="1:12" x14ac:dyDescent="0.25">
      <c r="A185" s="1">
        <v>44927</v>
      </c>
      <c r="B185" s="1">
        <v>44921</v>
      </c>
      <c r="C185" s="1">
        <v>44927</v>
      </c>
      <c r="D185">
        <v>2022</v>
      </c>
      <c r="E185">
        <v>52</v>
      </c>
      <c r="F185">
        <v>2023</v>
      </c>
      <c r="G185">
        <v>1</v>
      </c>
      <c r="H185">
        <v>24</v>
      </c>
      <c r="I185">
        <f>VLOOKUP($B185,wau!$A:$D,4,0)</f>
        <v>141</v>
      </c>
      <c r="J185">
        <f>VLOOKUP($C185,mau!$A:$D,4,0)</f>
        <v>536</v>
      </c>
      <c r="K185" s="3">
        <f t="shared" si="4"/>
        <v>0.1702127659574468</v>
      </c>
      <c r="L185" s="3">
        <f t="shared" si="5"/>
        <v>4.4776119402985072E-2</v>
      </c>
    </row>
    <row r="186" spans="1:12" x14ac:dyDescent="0.25">
      <c r="A186" s="1">
        <v>44928</v>
      </c>
      <c r="B186" s="1">
        <v>44928</v>
      </c>
      <c r="C186" s="1">
        <v>44927</v>
      </c>
      <c r="D186">
        <v>2023</v>
      </c>
      <c r="E186">
        <v>1</v>
      </c>
      <c r="F186">
        <v>2023</v>
      </c>
      <c r="G186">
        <v>1</v>
      </c>
      <c r="H186">
        <v>35</v>
      </c>
      <c r="I186">
        <f>VLOOKUP($B186,wau!$A:$D,4,0)</f>
        <v>190</v>
      </c>
      <c r="J186">
        <f>VLOOKUP($C186,mau!$A:$D,4,0)</f>
        <v>536</v>
      </c>
      <c r="K186" s="3">
        <f t="shared" si="4"/>
        <v>0.18421052631578946</v>
      </c>
      <c r="L186" s="3">
        <f t="shared" si="5"/>
        <v>6.5298507462686561E-2</v>
      </c>
    </row>
    <row r="187" spans="1:12" x14ac:dyDescent="0.25">
      <c r="A187" s="1">
        <v>44929</v>
      </c>
      <c r="B187" s="1">
        <v>44928</v>
      </c>
      <c r="C187" s="1">
        <v>44927</v>
      </c>
      <c r="D187">
        <v>2023</v>
      </c>
      <c r="E187">
        <v>1</v>
      </c>
      <c r="F187">
        <v>2023</v>
      </c>
      <c r="G187">
        <v>1</v>
      </c>
      <c r="H187">
        <v>40</v>
      </c>
      <c r="I187">
        <f>VLOOKUP($B187,wau!$A:$D,4,0)</f>
        <v>190</v>
      </c>
      <c r="J187">
        <f>VLOOKUP($C187,mau!$A:$D,4,0)</f>
        <v>536</v>
      </c>
      <c r="K187" s="3">
        <f t="shared" si="4"/>
        <v>0.21052631578947367</v>
      </c>
      <c r="L187" s="3">
        <f t="shared" si="5"/>
        <v>7.4626865671641784E-2</v>
      </c>
    </row>
    <row r="188" spans="1:12" x14ac:dyDescent="0.25">
      <c r="A188" s="1">
        <v>44930</v>
      </c>
      <c r="B188" s="1">
        <v>44928</v>
      </c>
      <c r="C188" s="1">
        <v>44927</v>
      </c>
      <c r="D188">
        <v>2023</v>
      </c>
      <c r="E188">
        <v>1</v>
      </c>
      <c r="F188">
        <v>2023</v>
      </c>
      <c r="G188">
        <v>1</v>
      </c>
      <c r="H188">
        <v>46</v>
      </c>
      <c r="I188">
        <f>VLOOKUP($B188,wau!$A:$D,4,0)</f>
        <v>190</v>
      </c>
      <c r="J188">
        <f>VLOOKUP($C188,mau!$A:$D,4,0)</f>
        <v>536</v>
      </c>
      <c r="K188" s="3">
        <f t="shared" si="4"/>
        <v>0.24210526315789474</v>
      </c>
      <c r="L188" s="3">
        <f t="shared" si="5"/>
        <v>8.5820895522388058E-2</v>
      </c>
    </row>
    <row r="189" spans="1:12" x14ac:dyDescent="0.25">
      <c r="A189" s="1">
        <v>44931</v>
      </c>
      <c r="B189" s="1">
        <v>44928</v>
      </c>
      <c r="C189" s="1">
        <v>44927</v>
      </c>
      <c r="D189">
        <v>2023</v>
      </c>
      <c r="E189">
        <v>1</v>
      </c>
      <c r="F189">
        <v>2023</v>
      </c>
      <c r="G189">
        <v>1</v>
      </c>
      <c r="H189">
        <v>36</v>
      </c>
      <c r="I189">
        <f>VLOOKUP($B189,wau!$A:$D,4,0)</f>
        <v>190</v>
      </c>
      <c r="J189">
        <f>VLOOKUP($C189,mau!$A:$D,4,0)</f>
        <v>536</v>
      </c>
      <c r="K189" s="3">
        <f t="shared" si="4"/>
        <v>0.18947368421052632</v>
      </c>
      <c r="L189" s="3">
        <f t="shared" si="5"/>
        <v>6.7164179104477612E-2</v>
      </c>
    </row>
    <row r="190" spans="1:12" x14ac:dyDescent="0.25">
      <c r="A190" s="1">
        <v>44932</v>
      </c>
      <c r="B190" s="1">
        <v>44928</v>
      </c>
      <c r="C190" s="1">
        <v>44927</v>
      </c>
      <c r="D190">
        <v>2023</v>
      </c>
      <c r="E190">
        <v>1</v>
      </c>
      <c r="F190">
        <v>2023</v>
      </c>
      <c r="G190">
        <v>1</v>
      </c>
      <c r="H190">
        <v>46</v>
      </c>
      <c r="I190">
        <f>VLOOKUP($B190,wau!$A:$D,4,0)</f>
        <v>190</v>
      </c>
      <c r="J190">
        <f>VLOOKUP($C190,mau!$A:$D,4,0)</f>
        <v>536</v>
      </c>
      <c r="K190" s="3">
        <f t="shared" si="4"/>
        <v>0.24210526315789474</v>
      </c>
      <c r="L190" s="3">
        <f t="shared" si="5"/>
        <v>8.5820895522388058E-2</v>
      </c>
    </row>
    <row r="191" spans="1:12" x14ac:dyDescent="0.25">
      <c r="A191" s="1">
        <v>44933</v>
      </c>
      <c r="B191" s="1">
        <v>44928</v>
      </c>
      <c r="C191" s="1">
        <v>44927</v>
      </c>
      <c r="D191">
        <v>2023</v>
      </c>
      <c r="E191">
        <v>1</v>
      </c>
      <c r="F191">
        <v>2023</v>
      </c>
      <c r="G191">
        <v>1</v>
      </c>
      <c r="H191">
        <v>35</v>
      </c>
      <c r="I191">
        <f>VLOOKUP($B191,wau!$A:$D,4,0)</f>
        <v>190</v>
      </c>
      <c r="J191">
        <f>VLOOKUP($C191,mau!$A:$D,4,0)</f>
        <v>536</v>
      </c>
      <c r="K191" s="3">
        <f t="shared" si="4"/>
        <v>0.18421052631578946</v>
      </c>
      <c r="L191" s="3">
        <f t="shared" si="5"/>
        <v>6.5298507462686561E-2</v>
      </c>
    </row>
    <row r="192" spans="1:12" x14ac:dyDescent="0.25">
      <c r="A192" s="1">
        <v>44934</v>
      </c>
      <c r="B192" s="1">
        <v>44928</v>
      </c>
      <c r="C192" s="1">
        <v>44927</v>
      </c>
      <c r="D192">
        <v>2023</v>
      </c>
      <c r="E192">
        <v>1</v>
      </c>
      <c r="F192">
        <v>2023</v>
      </c>
      <c r="G192">
        <v>1</v>
      </c>
      <c r="H192">
        <v>53</v>
      </c>
      <c r="I192">
        <f>VLOOKUP($B192,wau!$A:$D,4,0)</f>
        <v>190</v>
      </c>
      <c r="J192">
        <f>VLOOKUP($C192,mau!$A:$D,4,0)</f>
        <v>536</v>
      </c>
      <c r="K192" s="3">
        <f t="shared" si="4"/>
        <v>0.27894736842105261</v>
      </c>
      <c r="L192" s="3">
        <f t="shared" si="5"/>
        <v>9.8880597014925367E-2</v>
      </c>
    </row>
    <row r="193" spans="1:12" x14ac:dyDescent="0.25">
      <c r="A193" s="1">
        <v>44935</v>
      </c>
      <c r="B193" s="1">
        <v>44935</v>
      </c>
      <c r="C193" s="1">
        <v>44927</v>
      </c>
      <c r="D193">
        <v>2023</v>
      </c>
      <c r="E193">
        <v>2</v>
      </c>
      <c r="F193">
        <v>2023</v>
      </c>
      <c r="G193">
        <v>1</v>
      </c>
      <c r="H193">
        <v>53</v>
      </c>
      <c r="I193">
        <f>VLOOKUP($B193,wau!$A:$D,4,0)</f>
        <v>233</v>
      </c>
      <c r="J193">
        <f>VLOOKUP($C193,mau!$A:$D,4,0)</f>
        <v>536</v>
      </c>
      <c r="K193" s="3">
        <f t="shared" si="4"/>
        <v>0.22746781115879827</v>
      </c>
      <c r="L193" s="3">
        <f t="shared" si="5"/>
        <v>9.8880597014925367E-2</v>
      </c>
    </row>
    <row r="194" spans="1:12" x14ac:dyDescent="0.25">
      <c r="A194" s="1">
        <v>44936</v>
      </c>
      <c r="B194" s="1">
        <v>44935</v>
      </c>
      <c r="C194" s="1">
        <v>44927</v>
      </c>
      <c r="D194">
        <v>2023</v>
      </c>
      <c r="E194">
        <v>2</v>
      </c>
      <c r="F194">
        <v>2023</v>
      </c>
      <c r="G194">
        <v>1</v>
      </c>
      <c r="H194">
        <v>52</v>
      </c>
      <c r="I194">
        <f>VLOOKUP($B194,wau!$A:$D,4,0)</f>
        <v>233</v>
      </c>
      <c r="J194">
        <f>VLOOKUP($C194,mau!$A:$D,4,0)</f>
        <v>536</v>
      </c>
      <c r="K194" s="3">
        <f t="shared" si="4"/>
        <v>0.22317596566523606</v>
      </c>
      <c r="L194" s="3">
        <f t="shared" si="5"/>
        <v>9.7014925373134331E-2</v>
      </c>
    </row>
    <row r="195" spans="1:12" x14ac:dyDescent="0.25">
      <c r="A195" s="1">
        <v>44937</v>
      </c>
      <c r="B195" s="1">
        <v>44935</v>
      </c>
      <c r="C195" s="1">
        <v>44927</v>
      </c>
      <c r="D195">
        <v>2023</v>
      </c>
      <c r="E195">
        <v>2</v>
      </c>
      <c r="F195">
        <v>2023</v>
      </c>
      <c r="G195">
        <v>1</v>
      </c>
      <c r="H195">
        <v>65</v>
      </c>
      <c r="I195">
        <f>VLOOKUP($B195,wau!$A:$D,4,0)</f>
        <v>233</v>
      </c>
      <c r="J195">
        <f>VLOOKUP($C195,mau!$A:$D,4,0)</f>
        <v>536</v>
      </c>
      <c r="K195" s="3">
        <f t="shared" ref="K195:K258" si="6">IFERROR(H195/I195,"")</f>
        <v>0.27896995708154504</v>
      </c>
      <c r="L195" s="3">
        <f t="shared" ref="L195:L258" si="7">IFERROR(H195/J195,"")</f>
        <v>0.12126865671641791</v>
      </c>
    </row>
    <row r="196" spans="1:12" x14ac:dyDescent="0.25">
      <c r="A196" s="1">
        <v>44938</v>
      </c>
      <c r="B196" s="1">
        <v>44935</v>
      </c>
      <c r="C196" s="1">
        <v>44927</v>
      </c>
      <c r="D196">
        <v>2023</v>
      </c>
      <c r="E196">
        <v>2</v>
      </c>
      <c r="F196">
        <v>2023</v>
      </c>
      <c r="G196">
        <v>1</v>
      </c>
      <c r="H196">
        <v>52</v>
      </c>
      <c r="I196">
        <f>VLOOKUP($B196,wau!$A:$D,4,0)</f>
        <v>233</v>
      </c>
      <c r="J196">
        <f>VLOOKUP($C196,mau!$A:$D,4,0)</f>
        <v>536</v>
      </c>
      <c r="K196" s="3">
        <f t="shared" si="6"/>
        <v>0.22317596566523606</v>
      </c>
      <c r="L196" s="3">
        <f t="shared" si="7"/>
        <v>9.7014925373134331E-2</v>
      </c>
    </row>
    <row r="197" spans="1:12" x14ac:dyDescent="0.25">
      <c r="A197" s="1">
        <v>44939</v>
      </c>
      <c r="B197" s="1">
        <v>44935</v>
      </c>
      <c r="C197" s="1">
        <v>44927</v>
      </c>
      <c r="D197">
        <v>2023</v>
      </c>
      <c r="E197">
        <v>2</v>
      </c>
      <c r="F197">
        <v>2023</v>
      </c>
      <c r="G197">
        <v>1</v>
      </c>
      <c r="H197">
        <v>62</v>
      </c>
      <c r="I197">
        <f>VLOOKUP($B197,wau!$A:$D,4,0)</f>
        <v>233</v>
      </c>
      <c r="J197">
        <f>VLOOKUP($C197,mau!$A:$D,4,0)</f>
        <v>536</v>
      </c>
      <c r="K197" s="3">
        <f t="shared" si="6"/>
        <v>0.26609442060085836</v>
      </c>
      <c r="L197" s="3">
        <f t="shared" si="7"/>
        <v>0.11567164179104478</v>
      </c>
    </row>
    <row r="198" spans="1:12" x14ac:dyDescent="0.25">
      <c r="A198" s="1">
        <v>44940</v>
      </c>
      <c r="B198" s="1">
        <v>44935</v>
      </c>
      <c r="C198" s="1">
        <v>44927</v>
      </c>
      <c r="D198">
        <v>2023</v>
      </c>
      <c r="E198">
        <v>2</v>
      </c>
      <c r="F198">
        <v>2023</v>
      </c>
      <c r="G198">
        <v>1</v>
      </c>
      <c r="H198">
        <v>77</v>
      </c>
      <c r="I198">
        <f>VLOOKUP($B198,wau!$A:$D,4,0)</f>
        <v>233</v>
      </c>
      <c r="J198">
        <f>VLOOKUP($C198,mau!$A:$D,4,0)</f>
        <v>536</v>
      </c>
      <c r="K198" s="3">
        <f t="shared" si="6"/>
        <v>0.33047210300429186</v>
      </c>
      <c r="L198" s="3">
        <f t="shared" si="7"/>
        <v>0.14365671641791045</v>
      </c>
    </row>
    <row r="199" spans="1:12" x14ac:dyDescent="0.25">
      <c r="A199" s="1">
        <v>44941</v>
      </c>
      <c r="B199" s="1">
        <v>44935</v>
      </c>
      <c r="C199" s="1">
        <v>44927</v>
      </c>
      <c r="D199">
        <v>2023</v>
      </c>
      <c r="E199">
        <v>2</v>
      </c>
      <c r="F199">
        <v>2023</v>
      </c>
      <c r="G199">
        <v>1</v>
      </c>
      <c r="H199">
        <v>61</v>
      </c>
      <c r="I199">
        <f>VLOOKUP($B199,wau!$A:$D,4,0)</f>
        <v>233</v>
      </c>
      <c r="J199">
        <f>VLOOKUP($C199,mau!$A:$D,4,0)</f>
        <v>536</v>
      </c>
      <c r="K199" s="3">
        <f t="shared" si="6"/>
        <v>0.26180257510729615</v>
      </c>
      <c r="L199" s="3">
        <f t="shared" si="7"/>
        <v>0.11380597014925373</v>
      </c>
    </row>
    <row r="200" spans="1:12" x14ac:dyDescent="0.25">
      <c r="A200" s="1">
        <v>44942</v>
      </c>
      <c r="B200" s="1">
        <v>44942</v>
      </c>
      <c r="C200" s="1">
        <v>44927</v>
      </c>
      <c r="D200">
        <v>2023</v>
      </c>
      <c r="E200">
        <v>3</v>
      </c>
      <c r="F200">
        <v>2023</v>
      </c>
      <c r="G200">
        <v>1</v>
      </c>
      <c r="H200">
        <v>70</v>
      </c>
      <c r="I200">
        <f>VLOOKUP($B200,wau!$A:$D,4,0)</f>
        <v>272</v>
      </c>
      <c r="J200">
        <f>VLOOKUP($C200,mau!$A:$D,4,0)</f>
        <v>536</v>
      </c>
      <c r="K200" s="3">
        <f t="shared" si="6"/>
        <v>0.25735294117647056</v>
      </c>
      <c r="L200" s="3">
        <f t="shared" si="7"/>
        <v>0.13059701492537312</v>
      </c>
    </row>
    <row r="201" spans="1:12" x14ac:dyDescent="0.25">
      <c r="A201" s="1">
        <v>44943</v>
      </c>
      <c r="B201" s="1">
        <v>44942</v>
      </c>
      <c r="C201" s="1">
        <v>44927</v>
      </c>
      <c r="D201">
        <v>2023</v>
      </c>
      <c r="E201">
        <v>3</v>
      </c>
      <c r="F201">
        <v>2023</v>
      </c>
      <c r="G201">
        <v>1</v>
      </c>
      <c r="H201">
        <v>66</v>
      </c>
      <c r="I201">
        <f>VLOOKUP($B201,wau!$A:$D,4,0)</f>
        <v>272</v>
      </c>
      <c r="J201">
        <f>VLOOKUP($C201,mau!$A:$D,4,0)</f>
        <v>536</v>
      </c>
      <c r="K201" s="3">
        <f t="shared" si="6"/>
        <v>0.24264705882352941</v>
      </c>
      <c r="L201" s="3">
        <f t="shared" si="7"/>
        <v>0.12313432835820895</v>
      </c>
    </row>
    <row r="202" spans="1:12" x14ac:dyDescent="0.25">
      <c r="A202" s="1">
        <v>44944</v>
      </c>
      <c r="B202" s="1">
        <v>44942</v>
      </c>
      <c r="C202" s="1">
        <v>44927</v>
      </c>
      <c r="D202">
        <v>2023</v>
      </c>
      <c r="E202">
        <v>3</v>
      </c>
      <c r="F202">
        <v>2023</v>
      </c>
      <c r="G202">
        <v>1</v>
      </c>
      <c r="H202">
        <v>73</v>
      </c>
      <c r="I202">
        <f>VLOOKUP($B202,wau!$A:$D,4,0)</f>
        <v>272</v>
      </c>
      <c r="J202">
        <f>VLOOKUP($C202,mau!$A:$D,4,0)</f>
        <v>536</v>
      </c>
      <c r="K202" s="3">
        <f t="shared" si="6"/>
        <v>0.26838235294117646</v>
      </c>
      <c r="L202" s="3">
        <f t="shared" si="7"/>
        <v>0.13619402985074627</v>
      </c>
    </row>
    <row r="203" spans="1:12" x14ac:dyDescent="0.25">
      <c r="A203" s="1">
        <v>44945</v>
      </c>
      <c r="B203" s="1">
        <v>44942</v>
      </c>
      <c r="C203" s="1">
        <v>44927</v>
      </c>
      <c r="D203">
        <v>2023</v>
      </c>
      <c r="E203">
        <v>3</v>
      </c>
      <c r="F203">
        <v>2023</v>
      </c>
      <c r="G203">
        <v>1</v>
      </c>
      <c r="H203">
        <v>73</v>
      </c>
      <c r="I203">
        <f>VLOOKUP($B203,wau!$A:$D,4,0)</f>
        <v>272</v>
      </c>
      <c r="J203">
        <f>VLOOKUP($C203,mau!$A:$D,4,0)</f>
        <v>536</v>
      </c>
      <c r="K203" s="3">
        <f t="shared" si="6"/>
        <v>0.26838235294117646</v>
      </c>
      <c r="L203" s="3">
        <f t="shared" si="7"/>
        <v>0.13619402985074627</v>
      </c>
    </row>
    <row r="204" spans="1:12" x14ac:dyDescent="0.25">
      <c r="A204" s="1">
        <v>44946</v>
      </c>
      <c r="B204" s="1">
        <v>44942</v>
      </c>
      <c r="C204" s="1">
        <v>44927</v>
      </c>
      <c r="D204">
        <v>2023</v>
      </c>
      <c r="E204">
        <v>3</v>
      </c>
      <c r="F204">
        <v>2023</v>
      </c>
      <c r="G204">
        <v>1</v>
      </c>
      <c r="H204">
        <v>80</v>
      </c>
      <c r="I204">
        <f>VLOOKUP($B204,wau!$A:$D,4,0)</f>
        <v>272</v>
      </c>
      <c r="J204">
        <f>VLOOKUP($C204,mau!$A:$D,4,0)</f>
        <v>536</v>
      </c>
      <c r="K204" s="3">
        <f t="shared" si="6"/>
        <v>0.29411764705882354</v>
      </c>
      <c r="L204" s="3">
        <f t="shared" si="7"/>
        <v>0.14925373134328357</v>
      </c>
    </row>
    <row r="205" spans="1:12" x14ac:dyDescent="0.25">
      <c r="A205" s="1">
        <v>44947</v>
      </c>
      <c r="B205" s="1">
        <v>44942</v>
      </c>
      <c r="C205" s="1">
        <v>44927</v>
      </c>
      <c r="D205">
        <v>2023</v>
      </c>
      <c r="E205">
        <v>3</v>
      </c>
      <c r="F205">
        <v>2023</v>
      </c>
      <c r="G205">
        <v>1</v>
      </c>
      <c r="H205">
        <v>75</v>
      </c>
      <c r="I205">
        <f>VLOOKUP($B205,wau!$A:$D,4,0)</f>
        <v>272</v>
      </c>
      <c r="J205">
        <f>VLOOKUP($C205,mau!$A:$D,4,0)</f>
        <v>536</v>
      </c>
      <c r="K205" s="3">
        <f t="shared" si="6"/>
        <v>0.27573529411764708</v>
      </c>
      <c r="L205" s="3">
        <f t="shared" si="7"/>
        <v>0.13992537313432835</v>
      </c>
    </row>
    <row r="206" spans="1:12" x14ac:dyDescent="0.25">
      <c r="A206" s="1">
        <v>44948</v>
      </c>
      <c r="B206" s="1">
        <v>44942</v>
      </c>
      <c r="C206" s="1">
        <v>44927</v>
      </c>
      <c r="D206">
        <v>2023</v>
      </c>
      <c r="E206">
        <v>3</v>
      </c>
      <c r="F206">
        <v>2023</v>
      </c>
      <c r="G206">
        <v>1</v>
      </c>
      <c r="H206">
        <v>90</v>
      </c>
      <c r="I206">
        <f>VLOOKUP($B206,wau!$A:$D,4,0)</f>
        <v>272</v>
      </c>
      <c r="J206">
        <f>VLOOKUP($C206,mau!$A:$D,4,0)</f>
        <v>536</v>
      </c>
      <c r="K206" s="3">
        <f t="shared" si="6"/>
        <v>0.33088235294117646</v>
      </c>
      <c r="L206" s="3">
        <f t="shared" si="7"/>
        <v>0.16791044776119404</v>
      </c>
    </row>
    <row r="207" spans="1:12" x14ac:dyDescent="0.25">
      <c r="A207" s="1">
        <v>44949</v>
      </c>
      <c r="B207" s="1">
        <v>44949</v>
      </c>
      <c r="C207" s="1">
        <v>44927</v>
      </c>
      <c r="D207">
        <v>2023</v>
      </c>
      <c r="E207">
        <v>4</v>
      </c>
      <c r="F207">
        <v>2023</v>
      </c>
      <c r="G207">
        <v>1</v>
      </c>
      <c r="H207">
        <v>78</v>
      </c>
      <c r="I207">
        <f>VLOOKUP($B207,wau!$A:$D,4,0)</f>
        <v>295</v>
      </c>
      <c r="J207">
        <f>VLOOKUP($C207,mau!$A:$D,4,0)</f>
        <v>536</v>
      </c>
      <c r="K207" s="3">
        <f t="shared" si="6"/>
        <v>0.26440677966101694</v>
      </c>
      <c r="L207" s="3">
        <f t="shared" si="7"/>
        <v>0.1455223880597015</v>
      </c>
    </row>
    <row r="208" spans="1:12" x14ac:dyDescent="0.25">
      <c r="A208" s="1">
        <v>44950</v>
      </c>
      <c r="B208" s="1">
        <v>44949</v>
      </c>
      <c r="C208" s="1">
        <v>44927</v>
      </c>
      <c r="D208">
        <v>2023</v>
      </c>
      <c r="E208">
        <v>4</v>
      </c>
      <c r="F208">
        <v>2023</v>
      </c>
      <c r="G208">
        <v>1</v>
      </c>
      <c r="H208">
        <v>90</v>
      </c>
      <c r="I208">
        <f>VLOOKUP($B208,wau!$A:$D,4,0)</f>
        <v>295</v>
      </c>
      <c r="J208">
        <f>VLOOKUP($C208,mau!$A:$D,4,0)</f>
        <v>536</v>
      </c>
      <c r="K208" s="3">
        <f t="shared" si="6"/>
        <v>0.30508474576271188</v>
      </c>
      <c r="L208" s="3">
        <f t="shared" si="7"/>
        <v>0.16791044776119404</v>
      </c>
    </row>
    <row r="209" spans="1:12" x14ac:dyDescent="0.25">
      <c r="A209" s="1">
        <v>44951</v>
      </c>
      <c r="B209" s="1">
        <v>44949</v>
      </c>
      <c r="C209" s="1">
        <v>44927</v>
      </c>
      <c r="D209">
        <v>2023</v>
      </c>
      <c r="E209">
        <v>4</v>
      </c>
      <c r="F209">
        <v>2023</v>
      </c>
      <c r="G209">
        <v>1</v>
      </c>
      <c r="H209">
        <v>88</v>
      </c>
      <c r="I209">
        <f>VLOOKUP($B209,wau!$A:$D,4,0)</f>
        <v>295</v>
      </c>
      <c r="J209">
        <f>VLOOKUP($C209,mau!$A:$D,4,0)</f>
        <v>536</v>
      </c>
      <c r="K209" s="3">
        <f t="shared" si="6"/>
        <v>0.29830508474576273</v>
      </c>
      <c r="L209" s="3">
        <f t="shared" si="7"/>
        <v>0.16417910447761194</v>
      </c>
    </row>
    <row r="210" spans="1:12" x14ac:dyDescent="0.25">
      <c r="A210" s="1">
        <v>44952</v>
      </c>
      <c r="B210" s="1">
        <v>44949</v>
      </c>
      <c r="C210" s="1">
        <v>44927</v>
      </c>
      <c r="D210">
        <v>2023</v>
      </c>
      <c r="E210">
        <v>4</v>
      </c>
      <c r="F210">
        <v>2023</v>
      </c>
      <c r="G210">
        <v>1</v>
      </c>
      <c r="H210">
        <v>83</v>
      </c>
      <c r="I210">
        <f>VLOOKUP($B210,wau!$A:$D,4,0)</f>
        <v>295</v>
      </c>
      <c r="J210">
        <f>VLOOKUP($C210,mau!$A:$D,4,0)</f>
        <v>536</v>
      </c>
      <c r="K210" s="3">
        <f t="shared" si="6"/>
        <v>0.28135593220338984</v>
      </c>
      <c r="L210" s="3">
        <f t="shared" si="7"/>
        <v>0.15485074626865672</v>
      </c>
    </row>
    <row r="211" spans="1:12" x14ac:dyDescent="0.25">
      <c r="A211" s="1">
        <v>44953</v>
      </c>
      <c r="B211" s="1">
        <v>44949</v>
      </c>
      <c r="C211" s="1">
        <v>44927</v>
      </c>
      <c r="D211">
        <v>2023</v>
      </c>
      <c r="E211">
        <v>4</v>
      </c>
      <c r="F211">
        <v>2023</v>
      </c>
      <c r="G211">
        <v>1</v>
      </c>
      <c r="H211">
        <v>92</v>
      </c>
      <c r="I211">
        <f>VLOOKUP($B211,wau!$A:$D,4,0)</f>
        <v>295</v>
      </c>
      <c r="J211">
        <f>VLOOKUP($C211,mau!$A:$D,4,0)</f>
        <v>536</v>
      </c>
      <c r="K211" s="3">
        <f t="shared" si="6"/>
        <v>0.31186440677966104</v>
      </c>
      <c r="L211" s="3">
        <f t="shared" si="7"/>
        <v>0.17164179104477612</v>
      </c>
    </row>
    <row r="212" spans="1:12" x14ac:dyDescent="0.25">
      <c r="A212" s="1">
        <v>44954</v>
      </c>
      <c r="B212" s="1">
        <v>44949</v>
      </c>
      <c r="C212" s="1">
        <v>44927</v>
      </c>
      <c r="D212">
        <v>2023</v>
      </c>
      <c r="E212">
        <v>4</v>
      </c>
      <c r="F212">
        <v>2023</v>
      </c>
      <c r="G212">
        <v>1</v>
      </c>
      <c r="H212">
        <v>99</v>
      </c>
      <c r="I212">
        <f>VLOOKUP($B212,wau!$A:$D,4,0)</f>
        <v>295</v>
      </c>
      <c r="J212">
        <f>VLOOKUP($C212,mau!$A:$D,4,0)</f>
        <v>536</v>
      </c>
      <c r="K212" s="3">
        <f t="shared" si="6"/>
        <v>0.33559322033898303</v>
      </c>
      <c r="L212" s="3">
        <f t="shared" si="7"/>
        <v>0.18470149253731344</v>
      </c>
    </row>
    <row r="213" spans="1:12" x14ac:dyDescent="0.25">
      <c r="A213" s="1">
        <v>44955</v>
      </c>
      <c r="B213" s="1">
        <v>44949</v>
      </c>
      <c r="C213" s="1">
        <v>44927</v>
      </c>
      <c r="D213">
        <v>2023</v>
      </c>
      <c r="E213">
        <v>4</v>
      </c>
      <c r="F213">
        <v>2023</v>
      </c>
      <c r="G213">
        <v>1</v>
      </c>
      <c r="H213">
        <v>93</v>
      </c>
      <c r="I213">
        <f>VLOOKUP($B213,wau!$A:$D,4,0)</f>
        <v>295</v>
      </c>
      <c r="J213">
        <f>VLOOKUP($C213,mau!$A:$D,4,0)</f>
        <v>536</v>
      </c>
      <c r="K213" s="3">
        <f t="shared" si="6"/>
        <v>0.31525423728813562</v>
      </c>
      <c r="L213" s="3">
        <f t="shared" si="7"/>
        <v>0.17350746268656717</v>
      </c>
    </row>
    <row r="214" spans="1:12" x14ac:dyDescent="0.25">
      <c r="A214" s="1">
        <v>44956</v>
      </c>
      <c r="B214" s="1">
        <v>44956</v>
      </c>
      <c r="C214" s="1">
        <v>44927</v>
      </c>
      <c r="D214">
        <v>2023</v>
      </c>
      <c r="E214">
        <v>5</v>
      </c>
      <c r="F214">
        <v>2023</v>
      </c>
      <c r="G214">
        <v>1</v>
      </c>
      <c r="H214">
        <v>115</v>
      </c>
      <c r="I214">
        <f>VLOOKUP($B214,wau!$A:$D,4,0)</f>
        <v>346</v>
      </c>
      <c r="J214">
        <f>VLOOKUP($C214,mau!$A:$D,4,0)</f>
        <v>536</v>
      </c>
      <c r="K214" s="3">
        <f t="shared" si="6"/>
        <v>0.33236994219653176</v>
      </c>
      <c r="L214" s="3">
        <f t="shared" si="7"/>
        <v>0.21455223880597016</v>
      </c>
    </row>
    <row r="215" spans="1:12" x14ac:dyDescent="0.25">
      <c r="A215" s="1">
        <v>44957</v>
      </c>
      <c r="B215" s="1">
        <v>44956</v>
      </c>
      <c r="C215" s="1">
        <v>44927</v>
      </c>
      <c r="D215">
        <v>2023</v>
      </c>
      <c r="E215">
        <v>5</v>
      </c>
      <c r="F215">
        <v>2023</v>
      </c>
      <c r="G215">
        <v>1</v>
      </c>
      <c r="H215">
        <v>108</v>
      </c>
      <c r="I215">
        <f>VLOOKUP($B215,wau!$A:$D,4,0)</f>
        <v>346</v>
      </c>
      <c r="J215">
        <f>VLOOKUP($C215,mau!$A:$D,4,0)</f>
        <v>536</v>
      </c>
      <c r="K215" s="3">
        <f t="shared" si="6"/>
        <v>0.31213872832369943</v>
      </c>
      <c r="L215" s="3">
        <f t="shared" si="7"/>
        <v>0.20149253731343283</v>
      </c>
    </row>
    <row r="216" spans="1:12" x14ac:dyDescent="0.25">
      <c r="A216" s="1">
        <v>44958</v>
      </c>
      <c r="B216" s="1">
        <v>44956</v>
      </c>
      <c r="C216" s="1">
        <v>44958</v>
      </c>
      <c r="D216">
        <v>2023</v>
      </c>
      <c r="E216">
        <v>5</v>
      </c>
      <c r="F216">
        <v>2023</v>
      </c>
      <c r="G216">
        <v>2</v>
      </c>
      <c r="H216">
        <v>112</v>
      </c>
      <c r="I216">
        <f>VLOOKUP($B216,wau!$A:$D,4,0)</f>
        <v>346</v>
      </c>
      <c r="J216">
        <f>VLOOKUP($C216,mau!$A:$D,4,0)</f>
        <v>696</v>
      </c>
      <c r="K216" s="3">
        <f t="shared" si="6"/>
        <v>0.32369942196531792</v>
      </c>
      <c r="L216" s="3">
        <f t="shared" si="7"/>
        <v>0.16091954022988506</v>
      </c>
    </row>
    <row r="217" spans="1:12" x14ac:dyDescent="0.25">
      <c r="A217" s="1">
        <v>44959</v>
      </c>
      <c r="B217" s="1">
        <v>44956</v>
      </c>
      <c r="C217" s="1">
        <v>44958</v>
      </c>
      <c r="D217">
        <v>2023</v>
      </c>
      <c r="E217">
        <v>5</v>
      </c>
      <c r="F217">
        <v>2023</v>
      </c>
      <c r="G217">
        <v>2</v>
      </c>
      <c r="H217">
        <v>86</v>
      </c>
      <c r="I217">
        <f>VLOOKUP($B217,wau!$A:$D,4,0)</f>
        <v>346</v>
      </c>
      <c r="J217">
        <f>VLOOKUP($C217,mau!$A:$D,4,0)</f>
        <v>696</v>
      </c>
      <c r="K217" s="3">
        <f t="shared" si="6"/>
        <v>0.24855491329479767</v>
      </c>
      <c r="L217" s="3">
        <f t="shared" si="7"/>
        <v>0.1235632183908046</v>
      </c>
    </row>
    <row r="218" spans="1:12" x14ac:dyDescent="0.25">
      <c r="A218" s="1">
        <v>44960</v>
      </c>
      <c r="B218" s="1">
        <v>44956</v>
      </c>
      <c r="C218" s="1">
        <v>44958</v>
      </c>
      <c r="D218">
        <v>2023</v>
      </c>
      <c r="E218">
        <v>5</v>
      </c>
      <c r="F218">
        <v>2023</v>
      </c>
      <c r="G218">
        <v>2</v>
      </c>
      <c r="H218">
        <v>98</v>
      </c>
      <c r="I218">
        <f>VLOOKUP($B218,wau!$A:$D,4,0)</f>
        <v>346</v>
      </c>
      <c r="J218">
        <f>VLOOKUP($C218,mau!$A:$D,4,0)</f>
        <v>696</v>
      </c>
      <c r="K218" s="3">
        <f t="shared" si="6"/>
        <v>0.2832369942196532</v>
      </c>
      <c r="L218" s="3">
        <f t="shared" si="7"/>
        <v>0.14080459770114942</v>
      </c>
    </row>
    <row r="219" spans="1:12" x14ac:dyDescent="0.25">
      <c r="A219" s="1">
        <v>44961</v>
      </c>
      <c r="B219" s="1">
        <v>44956</v>
      </c>
      <c r="C219" s="1">
        <v>44958</v>
      </c>
      <c r="D219">
        <v>2023</v>
      </c>
      <c r="E219">
        <v>5</v>
      </c>
      <c r="F219">
        <v>2023</v>
      </c>
      <c r="G219">
        <v>2</v>
      </c>
      <c r="H219">
        <v>100</v>
      </c>
      <c r="I219">
        <f>VLOOKUP($B219,wau!$A:$D,4,0)</f>
        <v>346</v>
      </c>
      <c r="J219">
        <f>VLOOKUP($C219,mau!$A:$D,4,0)</f>
        <v>696</v>
      </c>
      <c r="K219" s="3">
        <f t="shared" si="6"/>
        <v>0.28901734104046245</v>
      </c>
      <c r="L219" s="3">
        <f t="shared" si="7"/>
        <v>0.14367816091954022</v>
      </c>
    </row>
    <row r="220" spans="1:12" x14ac:dyDescent="0.25">
      <c r="A220" s="1">
        <v>44962</v>
      </c>
      <c r="B220" s="1">
        <v>44956</v>
      </c>
      <c r="C220" s="1">
        <v>44958</v>
      </c>
      <c r="D220">
        <v>2023</v>
      </c>
      <c r="E220">
        <v>5</v>
      </c>
      <c r="F220">
        <v>2023</v>
      </c>
      <c r="G220">
        <v>2</v>
      </c>
      <c r="H220">
        <v>95</v>
      </c>
      <c r="I220">
        <f>VLOOKUP($B220,wau!$A:$D,4,0)</f>
        <v>346</v>
      </c>
      <c r="J220">
        <f>VLOOKUP($C220,mau!$A:$D,4,0)</f>
        <v>696</v>
      </c>
      <c r="K220" s="3">
        <f t="shared" si="6"/>
        <v>0.27456647398843931</v>
      </c>
      <c r="L220" s="3">
        <f t="shared" si="7"/>
        <v>0.13649425287356323</v>
      </c>
    </row>
    <row r="221" spans="1:12" x14ac:dyDescent="0.25">
      <c r="A221" s="1">
        <v>44963</v>
      </c>
      <c r="B221" s="1">
        <v>44963</v>
      </c>
      <c r="C221" s="1">
        <v>44958</v>
      </c>
      <c r="D221">
        <v>2023</v>
      </c>
      <c r="E221">
        <v>6</v>
      </c>
      <c r="F221">
        <v>2023</v>
      </c>
      <c r="G221">
        <v>2</v>
      </c>
      <c r="H221">
        <v>98</v>
      </c>
      <c r="I221">
        <f>VLOOKUP($B221,wau!$A:$D,4,0)</f>
        <v>340</v>
      </c>
      <c r="J221">
        <f>VLOOKUP($C221,mau!$A:$D,4,0)</f>
        <v>696</v>
      </c>
      <c r="K221" s="3">
        <f t="shared" si="6"/>
        <v>0.28823529411764703</v>
      </c>
      <c r="L221" s="3">
        <f t="shared" si="7"/>
        <v>0.14080459770114942</v>
      </c>
    </row>
    <row r="222" spans="1:12" x14ac:dyDescent="0.25">
      <c r="A222" s="1">
        <v>44964</v>
      </c>
      <c r="B222" s="1">
        <v>44963</v>
      </c>
      <c r="C222" s="1">
        <v>44958</v>
      </c>
      <c r="D222">
        <v>2023</v>
      </c>
      <c r="E222">
        <v>6</v>
      </c>
      <c r="F222">
        <v>2023</v>
      </c>
      <c r="G222">
        <v>2</v>
      </c>
      <c r="H222">
        <v>90</v>
      </c>
      <c r="I222">
        <f>VLOOKUP($B222,wau!$A:$D,4,0)</f>
        <v>340</v>
      </c>
      <c r="J222">
        <f>VLOOKUP($C222,mau!$A:$D,4,0)</f>
        <v>696</v>
      </c>
      <c r="K222" s="3">
        <f t="shared" si="6"/>
        <v>0.26470588235294118</v>
      </c>
      <c r="L222" s="3">
        <f t="shared" si="7"/>
        <v>0.12931034482758622</v>
      </c>
    </row>
    <row r="223" spans="1:12" x14ac:dyDescent="0.25">
      <c r="A223" s="1">
        <v>44965</v>
      </c>
      <c r="B223" s="1">
        <v>44963</v>
      </c>
      <c r="C223" s="1">
        <v>44958</v>
      </c>
      <c r="D223">
        <v>2023</v>
      </c>
      <c r="E223">
        <v>6</v>
      </c>
      <c r="F223">
        <v>2023</v>
      </c>
      <c r="G223">
        <v>2</v>
      </c>
      <c r="H223">
        <v>107</v>
      </c>
      <c r="I223">
        <f>VLOOKUP($B223,wau!$A:$D,4,0)</f>
        <v>340</v>
      </c>
      <c r="J223">
        <f>VLOOKUP($C223,mau!$A:$D,4,0)</f>
        <v>696</v>
      </c>
      <c r="K223" s="3">
        <f t="shared" si="6"/>
        <v>0.31470588235294117</v>
      </c>
      <c r="L223" s="3">
        <f t="shared" si="7"/>
        <v>0.15373563218390804</v>
      </c>
    </row>
    <row r="224" spans="1:12" x14ac:dyDescent="0.25">
      <c r="A224" s="1">
        <v>44966</v>
      </c>
      <c r="B224" s="1">
        <v>44963</v>
      </c>
      <c r="C224" s="1">
        <v>44958</v>
      </c>
      <c r="D224">
        <v>2023</v>
      </c>
      <c r="E224">
        <v>6</v>
      </c>
      <c r="F224">
        <v>2023</v>
      </c>
      <c r="G224">
        <v>2</v>
      </c>
      <c r="H224">
        <v>101</v>
      </c>
      <c r="I224">
        <f>VLOOKUP($B224,wau!$A:$D,4,0)</f>
        <v>340</v>
      </c>
      <c r="J224">
        <f>VLOOKUP($C224,mau!$A:$D,4,0)</f>
        <v>696</v>
      </c>
      <c r="K224" s="3">
        <f t="shared" si="6"/>
        <v>0.29705882352941176</v>
      </c>
      <c r="L224" s="3">
        <f t="shared" si="7"/>
        <v>0.14511494252873564</v>
      </c>
    </row>
    <row r="225" spans="1:12" x14ac:dyDescent="0.25">
      <c r="A225" s="1">
        <v>44967</v>
      </c>
      <c r="B225" s="1">
        <v>44963</v>
      </c>
      <c r="C225" s="1">
        <v>44958</v>
      </c>
      <c r="D225">
        <v>2023</v>
      </c>
      <c r="E225">
        <v>6</v>
      </c>
      <c r="F225">
        <v>2023</v>
      </c>
      <c r="G225">
        <v>2</v>
      </c>
      <c r="H225">
        <v>104</v>
      </c>
      <c r="I225">
        <f>VLOOKUP($B225,wau!$A:$D,4,0)</f>
        <v>340</v>
      </c>
      <c r="J225">
        <f>VLOOKUP($C225,mau!$A:$D,4,0)</f>
        <v>696</v>
      </c>
      <c r="K225" s="3">
        <f t="shared" si="6"/>
        <v>0.30588235294117649</v>
      </c>
      <c r="L225" s="3">
        <f t="shared" si="7"/>
        <v>0.14942528735632185</v>
      </c>
    </row>
    <row r="226" spans="1:12" x14ac:dyDescent="0.25">
      <c r="A226" s="1">
        <v>44968</v>
      </c>
      <c r="B226" s="1">
        <v>44963</v>
      </c>
      <c r="C226" s="1">
        <v>44958</v>
      </c>
      <c r="D226">
        <v>2023</v>
      </c>
      <c r="E226">
        <v>6</v>
      </c>
      <c r="F226">
        <v>2023</v>
      </c>
      <c r="G226">
        <v>2</v>
      </c>
      <c r="H226">
        <v>98</v>
      </c>
      <c r="I226">
        <f>VLOOKUP($B226,wau!$A:$D,4,0)</f>
        <v>340</v>
      </c>
      <c r="J226">
        <f>VLOOKUP($C226,mau!$A:$D,4,0)</f>
        <v>696</v>
      </c>
      <c r="K226" s="3">
        <f t="shared" si="6"/>
        <v>0.28823529411764703</v>
      </c>
      <c r="L226" s="3">
        <f t="shared" si="7"/>
        <v>0.14080459770114942</v>
      </c>
    </row>
    <row r="227" spans="1:12" x14ac:dyDescent="0.25">
      <c r="A227" s="1">
        <v>44969</v>
      </c>
      <c r="B227" s="1">
        <v>44963</v>
      </c>
      <c r="C227" s="1">
        <v>44958</v>
      </c>
      <c r="D227">
        <v>2023</v>
      </c>
      <c r="E227">
        <v>6</v>
      </c>
      <c r="F227">
        <v>2023</v>
      </c>
      <c r="G227">
        <v>2</v>
      </c>
      <c r="H227">
        <v>101</v>
      </c>
      <c r="I227">
        <f>VLOOKUP($B227,wau!$A:$D,4,0)</f>
        <v>340</v>
      </c>
      <c r="J227">
        <f>VLOOKUP($C227,mau!$A:$D,4,0)</f>
        <v>696</v>
      </c>
      <c r="K227" s="3">
        <f t="shared" si="6"/>
        <v>0.29705882352941176</v>
      </c>
      <c r="L227" s="3">
        <f t="shared" si="7"/>
        <v>0.14511494252873564</v>
      </c>
    </row>
    <row r="228" spans="1:12" x14ac:dyDescent="0.25">
      <c r="A228" s="1">
        <v>44970</v>
      </c>
      <c r="B228" s="1">
        <v>44970</v>
      </c>
      <c r="C228" s="1">
        <v>44958</v>
      </c>
      <c r="D228">
        <v>2023</v>
      </c>
      <c r="E228">
        <v>7</v>
      </c>
      <c r="F228">
        <v>2023</v>
      </c>
      <c r="G228">
        <v>2</v>
      </c>
      <c r="H228">
        <v>94</v>
      </c>
      <c r="I228">
        <f>VLOOKUP($B228,wau!$A:$D,4,0)</f>
        <v>347</v>
      </c>
      <c r="J228">
        <f>VLOOKUP($C228,mau!$A:$D,4,0)</f>
        <v>696</v>
      </c>
      <c r="K228" s="3">
        <f t="shared" si="6"/>
        <v>0.27089337175792505</v>
      </c>
      <c r="L228" s="3">
        <f t="shared" si="7"/>
        <v>0.13505747126436782</v>
      </c>
    </row>
    <row r="229" spans="1:12" x14ac:dyDescent="0.25">
      <c r="A229" s="1">
        <v>44971</v>
      </c>
      <c r="B229" s="1">
        <v>44970</v>
      </c>
      <c r="C229" s="1">
        <v>44958</v>
      </c>
      <c r="D229">
        <v>2023</v>
      </c>
      <c r="E229">
        <v>7</v>
      </c>
      <c r="F229">
        <v>2023</v>
      </c>
      <c r="G229">
        <v>2</v>
      </c>
      <c r="H229">
        <v>108</v>
      </c>
      <c r="I229">
        <f>VLOOKUP($B229,wau!$A:$D,4,0)</f>
        <v>347</v>
      </c>
      <c r="J229">
        <f>VLOOKUP($C229,mau!$A:$D,4,0)</f>
        <v>696</v>
      </c>
      <c r="K229" s="3">
        <f t="shared" si="6"/>
        <v>0.31123919308357351</v>
      </c>
      <c r="L229" s="3">
        <f t="shared" si="7"/>
        <v>0.15517241379310345</v>
      </c>
    </row>
    <row r="230" spans="1:12" x14ac:dyDescent="0.25">
      <c r="A230" s="1">
        <v>44972</v>
      </c>
      <c r="B230" s="1">
        <v>44970</v>
      </c>
      <c r="C230" s="1">
        <v>44958</v>
      </c>
      <c r="D230">
        <v>2023</v>
      </c>
      <c r="E230">
        <v>7</v>
      </c>
      <c r="F230">
        <v>2023</v>
      </c>
      <c r="G230">
        <v>2</v>
      </c>
      <c r="H230">
        <v>103</v>
      </c>
      <c r="I230">
        <f>VLOOKUP($B230,wau!$A:$D,4,0)</f>
        <v>347</v>
      </c>
      <c r="J230">
        <f>VLOOKUP($C230,mau!$A:$D,4,0)</f>
        <v>696</v>
      </c>
      <c r="K230" s="3">
        <f t="shared" si="6"/>
        <v>0.29682997118155618</v>
      </c>
      <c r="L230" s="3">
        <f t="shared" si="7"/>
        <v>0.14798850574712644</v>
      </c>
    </row>
    <row r="231" spans="1:12" x14ac:dyDescent="0.25">
      <c r="A231" s="1">
        <v>44973</v>
      </c>
      <c r="B231" s="1">
        <v>44970</v>
      </c>
      <c r="C231" s="1">
        <v>44958</v>
      </c>
      <c r="D231">
        <v>2023</v>
      </c>
      <c r="E231">
        <v>7</v>
      </c>
      <c r="F231">
        <v>2023</v>
      </c>
      <c r="G231">
        <v>2</v>
      </c>
      <c r="H231">
        <v>95</v>
      </c>
      <c r="I231">
        <f>VLOOKUP($B231,wau!$A:$D,4,0)</f>
        <v>347</v>
      </c>
      <c r="J231">
        <f>VLOOKUP($C231,mau!$A:$D,4,0)</f>
        <v>696</v>
      </c>
      <c r="K231" s="3">
        <f t="shared" si="6"/>
        <v>0.2737752161383285</v>
      </c>
      <c r="L231" s="3">
        <f t="shared" si="7"/>
        <v>0.13649425287356323</v>
      </c>
    </row>
    <row r="232" spans="1:12" x14ac:dyDescent="0.25">
      <c r="A232" s="1">
        <v>44974</v>
      </c>
      <c r="B232" s="1">
        <v>44970</v>
      </c>
      <c r="C232" s="1">
        <v>44958</v>
      </c>
      <c r="D232">
        <v>2023</v>
      </c>
      <c r="E232">
        <v>7</v>
      </c>
      <c r="F232">
        <v>2023</v>
      </c>
      <c r="G232">
        <v>2</v>
      </c>
      <c r="H232">
        <v>107</v>
      </c>
      <c r="I232">
        <f>VLOOKUP($B232,wau!$A:$D,4,0)</f>
        <v>347</v>
      </c>
      <c r="J232">
        <f>VLOOKUP($C232,mau!$A:$D,4,0)</f>
        <v>696</v>
      </c>
      <c r="K232" s="3">
        <f t="shared" si="6"/>
        <v>0.30835734870317005</v>
      </c>
      <c r="L232" s="3">
        <f t="shared" si="7"/>
        <v>0.15373563218390804</v>
      </c>
    </row>
    <row r="233" spans="1:12" x14ac:dyDescent="0.25">
      <c r="A233" s="1">
        <v>44975</v>
      </c>
      <c r="B233" s="1">
        <v>44970</v>
      </c>
      <c r="C233" s="1">
        <v>44958</v>
      </c>
      <c r="D233">
        <v>2023</v>
      </c>
      <c r="E233">
        <v>7</v>
      </c>
      <c r="F233">
        <v>2023</v>
      </c>
      <c r="G233">
        <v>2</v>
      </c>
      <c r="H233">
        <v>116</v>
      </c>
      <c r="I233">
        <f>VLOOKUP($B233,wau!$A:$D,4,0)</f>
        <v>347</v>
      </c>
      <c r="J233">
        <f>VLOOKUP($C233,mau!$A:$D,4,0)</f>
        <v>696</v>
      </c>
      <c r="K233" s="3">
        <f t="shared" si="6"/>
        <v>0.33429394812680113</v>
      </c>
      <c r="L233" s="3">
        <f t="shared" si="7"/>
        <v>0.16666666666666666</v>
      </c>
    </row>
    <row r="234" spans="1:12" x14ac:dyDescent="0.25">
      <c r="A234" s="1">
        <v>44976</v>
      </c>
      <c r="B234" s="1">
        <v>44970</v>
      </c>
      <c r="C234" s="1">
        <v>44958</v>
      </c>
      <c r="D234">
        <v>2023</v>
      </c>
      <c r="E234">
        <v>7</v>
      </c>
      <c r="F234">
        <v>2023</v>
      </c>
      <c r="G234">
        <v>2</v>
      </c>
      <c r="H234">
        <v>109</v>
      </c>
      <c r="I234">
        <f>VLOOKUP($B234,wau!$A:$D,4,0)</f>
        <v>347</v>
      </c>
      <c r="J234">
        <f>VLOOKUP($C234,mau!$A:$D,4,0)</f>
        <v>696</v>
      </c>
      <c r="K234" s="3">
        <f t="shared" si="6"/>
        <v>0.31412103746397696</v>
      </c>
      <c r="L234" s="3">
        <f t="shared" si="7"/>
        <v>0.15660919540229884</v>
      </c>
    </row>
    <row r="235" spans="1:12" x14ac:dyDescent="0.25">
      <c r="A235" s="1">
        <v>44977</v>
      </c>
      <c r="B235" s="1">
        <v>44977</v>
      </c>
      <c r="C235" s="1">
        <v>44958</v>
      </c>
      <c r="D235">
        <v>2023</v>
      </c>
      <c r="E235">
        <v>8</v>
      </c>
      <c r="F235">
        <v>2023</v>
      </c>
      <c r="G235">
        <v>2</v>
      </c>
      <c r="H235">
        <v>84</v>
      </c>
      <c r="I235">
        <f>VLOOKUP($B235,wau!$A:$D,4,0)</f>
        <v>384</v>
      </c>
      <c r="J235">
        <f>VLOOKUP($C235,mau!$A:$D,4,0)</f>
        <v>696</v>
      </c>
      <c r="K235" s="3">
        <f t="shared" si="6"/>
        <v>0.21875</v>
      </c>
      <c r="L235" s="3">
        <f t="shared" si="7"/>
        <v>0.1206896551724138</v>
      </c>
    </row>
    <row r="236" spans="1:12" x14ac:dyDescent="0.25">
      <c r="A236" s="1">
        <v>44978</v>
      </c>
      <c r="B236" s="1">
        <v>44977</v>
      </c>
      <c r="C236" s="1">
        <v>44958</v>
      </c>
      <c r="D236">
        <v>2023</v>
      </c>
      <c r="E236">
        <v>8</v>
      </c>
      <c r="F236">
        <v>2023</v>
      </c>
      <c r="G236">
        <v>2</v>
      </c>
      <c r="H236">
        <v>98</v>
      </c>
      <c r="I236">
        <f>VLOOKUP($B236,wau!$A:$D,4,0)</f>
        <v>384</v>
      </c>
      <c r="J236">
        <f>VLOOKUP($C236,mau!$A:$D,4,0)</f>
        <v>696</v>
      </c>
      <c r="K236" s="3">
        <f t="shared" si="6"/>
        <v>0.25520833333333331</v>
      </c>
      <c r="L236" s="3">
        <f t="shared" si="7"/>
        <v>0.14080459770114942</v>
      </c>
    </row>
    <row r="237" spans="1:12" x14ac:dyDescent="0.25">
      <c r="A237" s="1">
        <v>44979</v>
      </c>
      <c r="B237" s="1">
        <v>44977</v>
      </c>
      <c r="C237" s="1">
        <v>44958</v>
      </c>
      <c r="D237">
        <v>2023</v>
      </c>
      <c r="E237">
        <v>8</v>
      </c>
      <c r="F237">
        <v>2023</v>
      </c>
      <c r="G237">
        <v>2</v>
      </c>
      <c r="H237">
        <v>115</v>
      </c>
      <c r="I237">
        <f>VLOOKUP($B237,wau!$A:$D,4,0)</f>
        <v>384</v>
      </c>
      <c r="J237">
        <f>VLOOKUP($C237,mau!$A:$D,4,0)</f>
        <v>696</v>
      </c>
      <c r="K237" s="3">
        <f t="shared" si="6"/>
        <v>0.29947916666666669</v>
      </c>
      <c r="L237" s="3">
        <f t="shared" si="7"/>
        <v>0.16522988505747127</v>
      </c>
    </row>
    <row r="238" spans="1:12" x14ac:dyDescent="0.25">
      <c r="A238" s="1">
        <v>44980</v>
      </c>
      <c r="B238" s="1">
        <v>44977</v>
      </c>
      <c r="C238" s="1">
        <v>44958</v>
      </c>
      <c r="D238">
        <v>2023</v>
      </c>
      <c r="E238">
        <v>8</v>
      </c>
      <c r="F238">
        <v>2023</v>
      </c>
      <c r="G238">
        <v>2</v>
      </c>
      <c r="H238">
        <v>95</v>
      </c>
      <c r="I238">
        <f>VLOOKUP($B238,wau!$A:$D,4,0)</f>
        <v>384</v>
      </c>
      <c r="J238">
        <f>VLOOKUP($C238,mau!$A:$D,4,0)</f>
        <v>696</v>
      </c>
      <c r="K238" s="3">
        <f t="shared" si="6"/>
        <v>0.24739583333333334</v>
      </c>
      <c r="L238" s="3">
        <f t="shared" si="7"/>
        <v>0.13649425287356323</v>
      </c>
    </row>
    <row r="239" spans="1:12" x14ac:dyDescent="0.25">
      <c r="A239" s="1">
        <v>44981</v>
      </c>
      <c r="B239" s="1">
        <v>44977</v>
      </c>
      <c r="C239" s="1">
        <v>44958</v>
      </c>
      <c r="D239">
        <v>2023</v>
      </c>
      <c r="E239">
        <v>8</v>
      </c>
      <c r="F239">
        <v>2023</v>
      </c>
      <c r="G239">
        <v>2</v>
      </c>
      <c r="H239">
        <v>106</v>
      </c>
      <c r="I239">
        <f>VLOOKUP($B239,wau!$A:$D,4,0)</f>
        <v>384</v>
      </c>
      <c r="J239">
        <f>VLOOKUP($C239,mau!$A:$D,4,0)</f>
        <v>696</v>
      </c>
      <c r="K239" s="3">
        <f t="shared" si="6"/>
        <v>0.27604166666666669</v>
      </c>
      <c r="L239" s="3">
        <f t="shared" si="7"/>
        <v>0.15229885057471265</v>
      </c>
    </row>
    <row r="240" spans="1:12" x14ac:dyDescent="0.25">
      <c r="A240" s="1">
        <v>44982</v>
      </c>
      <c r="B240" s="1">
        <v>44977</v>
      </c>
      <c r="C240" s="1">
        <v>44958</v>
      </c>
      <c r="D240">
        <v>2023</v>
      </c>
      <c r="E240">
        <v>8</v>
      </c>
      <c r="F240">
        <v>2023</v>
      </c>
      <c r="G240">
        <v>2</v>
      </c>
      <c r="H240">
        <v>118</v>
      </c>
      <c r="I240">
        <f>VLOOKUP($B240,wau!$A:$D,4,0)</f>
        <v>384</v>
      </c>
      <c r="J240">
        <f>VLOOKUP($C240,mau!$A:$D,4,0)</f>
        <v>696</v>
      </c>
      <c r="K240" s="3">
        <f t="shared" si="6"/>
        <v>0.30729166666666669</v>
      </c>
      <c r="L240" s="3">
        <f t="shared" si="7"/>
        <v>0.16954022988505746</v>
      </c>
    </row>
    <row r="241" spans="1:12" x14ac:dyDescent="0.25">
      <c r="A241" s="1">
        <v>44983</v>
      </c>
      <c r="B241" s="1">
        <v>44977</v>
      </c>
      <c r="C241" s="1">
        <v>44958</v>
      </c>
      <c r="D241">
        <v>2023</v>
      </c>
      <c r="E241">
        <v>8</v>
      </c>
      <c r="F241">
        <v>2023</v>
      </c>
      <c r="G241">
        <v>2</v>
      </c>
      <c r="H241">
        <v>127</v>
      </c>
      <c r="I241">
        <f>VLOOKUP($B241,wau!$A:$D,4,0)</f>
        <v>384</v>
      </c>
      <c r="J241">
        <f>VLOOKUP($C241,mau!$A:$D,4,0)</f>
        <v>696</v>
      </c>
      <c r="K241" s="3">
        <f t="shared" si="6"/>
        <v>0.33072916666666669</v>
      </c>
      <c r="L241" s="3">
        <f t="shared" si="7"/>
        <v>0.18247126436781611</v>
      </c>
    </row>
    <row r="242" spans="1:12" x14ac:dyDescent="0.25">
      <c r="A242" s="1">
        <v>44984</v>
      </c>
      <c r="B242" s="1">
        <v>44984</v>
      </c>
      <c r="C242" s="1">
        <v>44958</v>
      </c>
      <c r="D242">
        <v>2023</v>
      </c>
      <c r="E242">
        <v>9</v>
      </c>
      <c r="F242">
        <v>2023</v>
      </c>
      <c r="G242">
        <v>2</v>
      </c>
      <c r="H242">
        <v>104</v>
      </c>
      <c r="I242">
        <f>VLOOKUP($B242,wau!$A:$D,4,0)</f>
        <v>611</v>
      </c>
      <c r="J242">
        <f>VLOOKUP($C242,mau!$A:$D,4,0)</f>
        <v>696</v>
      </c>
      <c r="K242" s="3">
        <f t="shared" si="6"/>
        <v>0.1702127659574468</v>
      </c>
      <c r="L242" s="3">
        <f t="shared" si="7"/>
        <v>0.14942528735632185</v>
      </c>
    </row>
    <row r="243" spans="1:12" x14ac:dyDescent="0.25">
      <c r="A243" s="1">
        <v>44985</v>
      </c>
      <c r="B243" s="1">
        <v>44984</v>
      </c>
      <c r="C243" s="1">
        <v>44958</v>
      </c>
      <c r="D243">
        <v>2023</v>
      </c>
      <c r="E243">
        <v>9</v>
      </c>
      <c r="F243">
        <v>2023</v>
      </c>
      <c r="G243">
        <v>2</v>
      </c>
      <c r="H243">
        <v>131</v>
      </c>
      <c r="I243">
        <f>VLOOKUP($B243,wau!$A:$D,4,0)</f>
        <v>611</v>
      </c>
      <c r="J243">
        <f>VLOOKUP($C243,mau!$A:$D,4,0)</f>
        <v>696</v>
      </c>
      <c r="K243" s="3">
        <f t="shared" si="6"/>
        <v>0.2144026186579378</v>
      </c>
      <c r="L243" s="3">
        <f t="shared" si="7"/>
        <v>0.18821839080459771</v>
      </c>
    </row>
    <row r="244" spans="1:12" x14ac:dyDescent="0.25">
      <c r="A244" s="1">
        <v>44986</v>
      </c>
      <c r="B244" s="1">
        <v>44984</v>
      </c>
      <c r="C244" s="1">
        <v>44986</v>
      </c>
      <c r="D244">
        <v>2023</v>
      </c>
      <c r="E244">
        <v>9</v>
      </c>
      <c r="F244">
        <v>2023</v>
      </c>
      <c r="G244">
        <v>3</v>
      </c>
      <c r="H244">
        <v>130</v>
      </c>
      <c r="I244">
        <f>VLOOKUP($B244,wau!$A:$D,4,0)</f>
        <v>611</v>
      </c>
      <c r="J244">
        <f>VLOOKUP($C244,mau!$A:$D,4,0)</f>
        <v>1544</v>
      </c>
      <c r="K244" s="3">
        <f t="shared" si="6"/>
        <v>0.21276595744680851</v>
      </c>
      <c r="L244" s="3">
        <f t="shared" si="7"/>
        <v>8.4196891191709838E-2</v>
      </c>
    </row>
    <row r="245" spans="1:12" x14ac:dyDescent="0.25">
      <c r="A245" s="1">
        <v>44987</v>
      </c>
      <c r="B245" s="1">
        <v>44984</v>
      </c>
      <c r="C245" s="1">
        <v>44986</v>
      </c>
      <c r="D245">
        <v>2023</v>
      </c>
      <c r="E245">
        <v>9</v>
      </c>
      <c r="F245">
        <v>2023</v>
      </c>
      <c r="G245">
        <v>3</v>
      </c>
      <c r="H245">
        <v>138</v>
      </c>
      <c r="I245">
        <f>VLOOKUP($B245,wau!$A:$D,4,0)</f>
        <v>611</v>
      </c>
      <c r="J245">
        <f>VLOOKUP($C245,mau!$A:$D,4,0)</f>
        <v>1544</v>
      </c>
      <c r="K245" s="3">
        <f t="shared" si="6"/>
        <v>0.22585924713584288</v>
      </c>
      <c r="L245" s="3">
        <f t="shared" si="7"/>
        <v>8.937823834196891E-2</v>
      </c>
    </row>
    <row r="246" spans="1:12" x14ac:dyDescent="0.25">
      <c r="A246" s="1">
        <v>44988</v>
      </c>
      <c r="B246" s="1">
        <v>44984</v>
      </c>
      <c r="C246" s="1">
        <v>44986</v>
      </c>
      <c r="D246">
        <v>2023</v>
      </c>
      <c r="E246">
        <v>9</v>
      </c>
      <c r="F246">
        <v>2023</v>
      </c>
      <c r="G246">
        <v>3</v>
      </c>
      <c r="H246">
        <v>167</v>
      </c>
      <c r="I246">
        <f>VLOOKUP($B246,wau!$A:$D,4,0)</f>
        <v>611</v>
      </c>
      <c r="J246">
        <f>VLOOKUP($C246,mau!$A:$D,4,0)</f>
        <v>1544</v>
      </c>
      <c r="K246" s="3">
        <f t="shared" si="6"/>
        <v>0.27332242225859249</v>
      </c>
      <c r="L246" s="3">
        <f t="shared" si="7"/>
        <v>0.10816062176165803</v>
      </c>
    </row>
    <row r="247" spans="1:12" x14ac:dyDescent="0.25">
      <c r="A247" s="1">
        <v>44989</v>
      </c>
      <c r="B247" s="1">
        <v>44984</v>
      </c>
      <c r="C247" s="1">
        <v>44986</v>
      </c>
      <c r="D247">
        <v>2023</v>
      </c>
      <c r="E247">
        <v>9</v>
      </c>
      <c r="F247">
        <v>2023</v>
      </c>
      <c r="G247">
        <v>3</v>
      </c>
      <c r="H247">
        <v>170</v>
      </c>
      <c r="I247">
        <f>VLOOKUP($B247,wau!$A:$D,4,0)</f>
        <v>611</v>
      </c>
      <c r="J247">
        <f>VLOOKUP($C247,mau!$A:$D,4,0)</f>
        <v>1544</v>
      </c>
      <c r="K247" s="3">
        <f t="shared" si="6"/>
        <v>0.27823240589198034</v>
      </c>
      <c r="L247" s="3">
        <f t="shared" si="7"/>
        <v>0.11010362694300518</v>
      </c>
    </row>
    <row r="248" spans="1:12" x14ac:dyDescent="0.25">
      <c r="A248" s="1">
        <v>44990</v>
      </c>
      <c r="B248" s="1">
        <v>44984</v>
      </c>
      <c r="C248" s="1">
        <v>44986</v>
      </c>
      <c r="D248">
        <v>2023</v>
      </c>
      <c r="E248">
        <v>9</v>
      </c>
      <c r="F248">
        <v>2023</v>
      </c>
      <c r="G248">
        <v>3</v>
      </c>
      <c r="H248">
        <v>165</v>
      </c>
      <c r="I248">
        <f>VLOOKUP($B248,wau!$A:$D,4,0)</f>
        <v>611</v>
      </c>
      <c r="J248">
        <f>VLOOKUP($C248,mau!$A:$D,4,0)</f>
        <v>1544</v>
      </c>
      <c r="K248" s="3">
        <f t="shared" si="6"/>
        <v>0.27004909983633391</v>
      </c>
      <c r="L248" s="3">
        <f t="shared" si="7"/>
        <v>0.10686528497409327</v>
      </c>
    </row>
    <row r="249" spans="1:12" x14ac:dyDescent="0.25">
      <c r="A249" s="1">
        <v>44991</v>
      </c>
      <c r="B249" s="1">
        <v>44991</v>
      </c>
      <c r="C249" s="1">
        <v>44986</v>
      </c>
      <c r="D249">
        <v>2023</v>
      </c>
      <c r="E249">
        <v>10</v>
      </c>
      <c r="F249">
        <v>2023</v>
      </c>
      <c r="G249">
        <v>3</v>
      </c>
      <c r="H249">
        <v>149</v>
      </c>
      <c r="I249">
        <f>VLOOKUP($B249,wau!$A:$D,4,0)</f>
        <v>712</v>
      </c>
      <c r="J249">
        <f>VLOOKUP($C249,mau!$A:$D,4,0)</f>
        <v>1544</v>
      </c>
      <c r="K249" s="3">
        <f t="shared" si="6"/>
        <v>0.20926966292134833</v>
      </c>
      <c r="L249" s="3">
        <f t="shared" si="7"/>
        <v>9.6502590673575125E-2</v>
      </c>
    </row>
    <row r="250" spans="1:12" x14ac:dyDescent="0.25">
      <c r="A250" s="1">
        <v>44992</v>
      </c>
      <c r="B250" s="1">
        <v>44991</v>
      </c>
      <c r="C250" s="1">
        <v>44986</v>
      </c>
      <c r="D250">
        <v>2023</v>
      </c>
      <c r="E250">
        <v>10</v>
      </c>
      <c r="F250">
        <v>2023</v>
      </c>
      <c r="G250">
        <v>3</v>
      </c>
      <c r="H250">
        <v>151</v>
      </c>
      <c r="I250">
        <f>VLOOKUP($B250,wau!$A:$D,4,0)</f>
        <v>712</v>
      </c>
      <c r="J250">
        <f>VLOOKUP($C250,mau!$A:$D,4,0)</f>
        <v>1544</v>
      </c>
      <c r="K250" s="3">
        <f t="shared" si="6"/>
        <v>0.21207865168539325</v>
      </c>
      <c r="L250" s="3">
        <f t="shared" si="7"/>
        <v>9.7797927461139897E-2</v>
      </c>
    </row>
    <row r="251" spans="1:12" x14ac:dyDescent="0.25">
      <c r="A251" s="1">
        <v>44993</v>
      </c>
      <c r="B251" s="1">
        <v>44991</v>
      </c>
      <c r="C251" s="1">
        <v>44986</v>
      </c>
      <c r="D251">
        <v>2023</v>
      </c>
      <c r="E251">
        <v>10</v>
      </c>
      <c r="F251">
        <v>2023</v>
      </c>
      <c r="G251">
        <v>3</v>
      </c>
      <c r="H251">
        <v>173</v>
      </c>
      <c r="I251">
        <f>VLOOKUP($B251,wau!$A:$D,4,0)</f>
        <v>712</v>
      </c>
      <c r="J251">
        <f>VLOOKUP($C251,mau!$A:$D,4,0)</f>
        <v>1544</v>
      </c>
      <c r="K251" s="3">
        <f t="shared" si="6"/>
        <v>0.24297752808988765</v>
      </c>
      <c r="L251" s="3">
        <f t="shared" si="7"/>
        <v>0.11204663212435233</v>
      </c>
    </row>
    <row r="252" spans="1:12" x14ac:dyDescent="0.25">
      <c r="A252" s="1">
        <v>44994</v>
      </c>
      <c r="B252" s="1">
        <v>44991</v>
      </c>
      <c r="C252" s="1">
        <v>44986</v>
      </c>
      <c r="D252">
        <v>2023</v>
      </c>
      <c r="E252">
        <v>10</v>
      </c>
      <c r="F252">
        <v>2023</v>
      </c>
      <c r="G252">
        <v>3</v>
      </c>
      <c r="H252">
        <v>150</v>
      </c>
      <c r="I252">
        <f>VLOOKUP($B252,wau!$A:$D,4,0)</f>
        <v>712</v>
      </c>
      <c r="J252">
        <f>VLOOKUP($C252,mau!$A:$D,4,0)</f>
        <v>1544</v>
      </c>
      <c r="K252" s="3">
        <f t="shared" si="6"/>
        <v>0.21067415730337077</v>
      </c>
      <c r="L252" s="3">
        <f t="shared" si="7"/>
        <v>9.7150259067357511E-2</v>
      </c>
    </row>
    <row r="253" spans="1:12" x14ac:dyDescent="0.25">
      <c r="A253" s="1">
        <v>44995</v>
      </c>
      <c r="B253" s="1">
        <v>44991</v>
      </c>
      <c r="C253" s="1">
        <v>44986</v>
      </c>
      <c r="D253">
        <v>2023</v>
      </c>
      <c r="E253">
        <v>10</v>
      </c>
      <c r="F253">
        <v>2023</v>
      </c>
      <c r="G253">
        <v>3</v>
      </c>
      <c r="H253">
        <v>162</v>
      </c>
      <c r="I253">
        <f>VLOOKUP($B253,wau!$A:$D,4,0)</f>
        <v>712</v>
      </c>
      <c r="J253">
        <f>VLOOKUP($C253,mau!$A:$D,4,0)</f>
        <v>1544</v>
      </c>
      <c r="K253" s="3">
        <f t="shared" si="6"/>
        <v>0.22752808988764045</v>
      </c>
      <c r="L253" s="3">
        <f t="shared" si="7"/>
        <v>0.10492227979274611</v>
      </c>
    </row>
    <row r="254" spans="1:12" x14ac:dyDescent="0.25">
      <c r="A254" s="1">
        <v>44996</v>
      </c>
      <c r="B254" s="1">
        <v>44991</v>
      </c>
      <c r="C254" s="1">
        <v>44986</v>
      </c>
      <c r="D254">
        <v>2023</v>
      </c>
      <c r="E254">
        <v>10</v>
      </c>
      <c r="F254">
        <v>2023</v>
      </c>
      <c r="G254">
        <v>3</v>
      </c>
      <c r="H254">
        <v>175</v>
      </c>
      <c r="I254">
        <f>VLOOKUP($B254,wau!$A:$D,4,0)</f>
        <v>712</v>
      </c>
      <c r="J254">
        <f>VLOOKUP($C254,mau!$A:$D,4,0)</f>
        <v>1544</v>
      </c>
      <c r="K254" s="3">
        <f t="shared" si="6"/>
        <v>0.24578651685393257</v>
      </c>
      <c r="L254" s="3">
        <f t="shared" si="7"/>
        <v>0.1133419689119171</v>
      </c>
    </row>
    <row r="255" spans="1:12" x14ac:dyDescent="0.25">
      <c r="A255" s="1">
        <v>44997</v>
      </c>
      <c r="B255" s="1">
        <v>44991</v>
      </c>
      <c r="C255" s="1">
        <v>44986</v>
      </c>
      <c r="D255">
        <v>2023</v>
      </c>
      <c r="E255">
        <v>10</v>
      </c>
      <c r="F255">
        <v>2023</v>
      </c>
      <c r="G255">
        <v>3</v>
      </c>
      <c r="H255">
        <v>176</v>
      </c>
      <c r="I255">
        <f>VLOOKUP($B255,wau!$A:$D,4,0)</f>
        <v>712</v>
      </c>
      <c r="J255">
        <f>VLOOKUP($C255,mau!$A:$D,4,0)</f>
        <v>1544</v>
      </c>
      <c r="K255" s="3">
        <f t="shared" si="6"/>
        <v>0.24719101123595505</v>
      </c>
      <c r="L255" s="3">
        <f t="shared" si="7"/>
        <v>0.11398963730569948</v>
      </c>
    </row>
    <row r="256" spans="1:12" x14ac:dyDescent="0.25">
      <c r="A256" s="1">
        <v>44998</v>
      </c>
      <c r="B256" s="1">
        <v>44998</v>
      </c>
      <c r="C256" s="1">
        <v>44986</v>
      </c>
      <c r="D256">
        <v>2023</v>
      </c>
      <c r="E256">
        <v>11</v>
      </c>
      <c r="F256">
        <v>2023</v>
      </c>
      <c r="G256">
        <v>3</v>
      </c>
      <c r="H256">
        <v>180</v>
      </c>
      <c r="I256">
        <f>VLOOKUP($B256,wau!$A:$D,4,0)</f>
        <v>772</v>
      </c>
      <c r="J256">
        <f>VLOOKUP($C256,mau!$A:$D,4,0)</f>
        <v>1544</v>
      </c>
      <c r="K256" s="3">
        <f t="shared" si="6"/>
        <v>0.23316062176165803</v>
      </c>
      <c r="L256" s="3">
        <f t="shared" si="7"/>
        <v>0.11658031088082901</v>
      </c>
    </row>
    <row r="257" spans="1:12" x14ac:dyDescent="0.25">
      <c r="A257" s="1">
        <v>44999</v>
      </c>
      <c r="B257" s="1">
        <v>44998</v>
      </c>
      <c r="C257" s="1">
        <v>44986</v>
      </c>
      <c r="D257">
        <v>2023</v>
      </c>
      <c r="E257">
        <v>11</v>
      </c>
      <c r="F257">
        <v>2023</v>
      </c>
      <c r="G257">
        <v>3</v>
      </c>
      <c r="H257">
        <v>168</v>
      </c>
      <c r="I257">
        <f>VLOOKUP($B257,wau!$A:$D,4,0)</f>
        <v>772</v>
      </c>
      <c r="J257">
        <f>VLOOKUP($C257,mau!$A:$D,4,0)</f>
        <v>1544</v>
      </c>
      <c r="K257" s="3">
        <f t="shared" si="6"/>
        <v>0.21761658031088082</v>
      </c>
      <c r="L257" s="3">
        <f t="shared" si="7"/>
        <v>0.10880829015544041</v>
      </c>
    </row>
    <row r="258" spans="1:12" x14ac:dyDescent="0.25">
      <c r="A258" s="1">
        <v>45000</v>
      </c>
      <c r="B258" s="1">
        <v>44998</v>
      </c>
      <c r="C258" s="1">
        <v>44986</v>
      </c>
      <c r="D258">
        <v>2023</v>
      </c>
      <c r="E258">
        <v>11</v>
      </c>
      <c r="F258">
        <v>2023</v>
      </c>
      <c r="G258">
        <v>3</v>
      </c>
      <c r="H258">
        <v>185</v>
      </c>
      <c r="I258">
        <f>VLOOKUP($B258,wau!$A:$D,4,0)</f>
        <v>772</v>
      </c>
      <c r="J258">
        <f>VLOOKUP($C258,mau!$A:$D,4,0)</f>
        <v>1544</v>
      </c>
      <c r="K258" s="3">
        <f t="shared" si="6"/>
        <v>0.23963730569948186</v>
      </c>
      <c r="L258" s="3">
        <f t="shared" si="7"/>
        <v>0.11981865284974093</v>
      </c>
    </row>
    <row r="259" spans="1:12" x14ac:dyDescent="0.25">
      <c r="A259" s="1">
        <v>45001</v>
      </c>
      <c r="B259" s="1">
        <v>44998</v>
      </c>
      <c r="C259" s="1">
        <v>44986</v>
      </c>
      <c r="D259">
        <v>2023</v>
      </c>
      <c r="E259">
        <v>11</v>
      </c>
      <c r="F259">
        <v>2023</v>
      </c>
      <c r="G259">
        <v>3</v>
      </c>
      <c r="H259">
        <v>181</v>
      </c>
      <c r="I259">
        <f>VLOOKUP($B259,wau!$A:$D,4,0)</f>
        <v>772</v>
      </c>
      <c r="J259">
        <f>VLOOKUP($C259,mau!$A:$D,4,0)</f>
        <v>1544</v>
      </c>
      <c r="K259" s="3">
        <f t="shared" ref="K259:K304" si="8">IFERROR(H259/I259,"")</f>
        <v>0.2344559585492228</v>
      </c>
      <c r="L259" s="3">
        <f t="shared" ref="L259:L304" si="9">IFERROR(H259/J259,"")</f>
        <v>0.1172279792746114</v>
      </c>
    </row>
    <row r="260" spans="1:12" x14ac:dyDescent="0.25">
      <c r="A260" s="1">
        <v>45002</v>
      </c>
      <c r="B260" s="1">
        <v>44998</v>
      </c>
      <c r="C260" s="1">
        <v>44986</v>
      </c>
      <c r="D260">
        <v>2023</v>
      </c>
      <c r="E260">
        <v>11</v>
      </c>
      <c r="F260">
        <v>2023</v>
      </c>
      <c r="G260">
        <v>3</v>
      </c>
      <c r="H260">
        <v>172</v>
      </c>
      <c r="I260">
        <f>VLOOKUP($B260,wau!$A:$D,4,0)</f>
        <v>772</v>
      </c>
      <c r="J260">
        <f>VLOOKUP($C260,mau!$A:$D,4,0)</f>
        <v>1544</v>
      </c>
      <c r="K260" s="3">
        <f t="shared" si="8"/>
        <v>0.22279792746113988</v>
      </c>
      <c r="L260" s="3">
        <f t="shared" si="9"/>
        <v>0.11139896373056994</v>
      </c>
    </row>
    <row r="261" spans="1:12" x14ac:dyDescent="0.25">
      <c r="A261" s="1">
        <v>45003</v>
      </c>
      <c r="B261" s="1">
        <v>44998</v>
      </c>
      <c r="C261" s="1">
        <v>44986</v>
      </c>
      <c r="D261">
        <v>2023</v>
      </c>
      <c r="E261">
        <v>11</v>
      </c>
      <c r="F261">
        <v>2023</v>
      </c>
      <c r="G261">
        <v>3</v>
      </c>
      <c r="H261">
        <v>187</v>
      </c>
      <c r="I261">
        <f>VLOOKUP($B261,wau!$A:$D,4,0)</f>
        <v>772</v>
      </c>
      <c r="J261">
        <f>VLOOKUP($C261,mau!$A:$D,4,0)</f>
        <v>1544</v>
      </c>
      <c r="K261" s="3">
        <f t="shared" si="8"/>
        <v>0.2422279792746114</v>
      </c>
      <c r="L261" s="3">
        <f t="shared" si="9"/>
        <v>0.1211139896373057</v>
      </c>
    </row>
    <row r="262" spans="1:12" x14ac:dyDescent="0.25">
      <c r="A262" s="1">
        <v>45004</v>
      </c>
      <c r="B262" s="1">
        <v>44998</v>
      </c>
      <c r="C262" s="1">
        <v>44986</v>
      </c>
      <c r="D262">
        <v>2023</v>
      </c>
      <c r="E262">
        <v>11</v>
      </c>
      <c r="F262">
        <v>2023</v>
      </c>
      <c r="G262">
        <v>3</v>
      </c>
      <c r="H262">
        <v>218</v>
      </c>
      <c r="I262">
        <f>VLOOKUP($B262,wau!$A:$D,4,0)</f>
        <v>772</v>
      </c>
      <c r="J262">
        <f>VLOOKUP($C262,mau!$A:$D,4,0)</f>
        <v>1544</v>
      </c>
      <c r="K262" s="3">
        <f t="shared" si="8"/>
        <v>0.28238341968911918</v>
      </c>
      <c r="L262" s="3">
        <f t="shared" si="9"/>
        <v>0.14119170984455959</v>
      </c>
    </row>
    <row r="263" spans="1:12" x14ac:dyDescent="0.25">
      <c r="A263" s="1">
        <v>45005</v>
      </c>
      <c r="B263" s="1">
        <v>45005</v>
      </c>
      <c r="C263" s="1">
        <v>44986</v>
      </c>
      <c r="D263">
        <v>2023</v>
      </c>
      <c r="E263">
        <v>12</v>
      </c>
      <c r="F263">
        <v>2023</v>
      </c>
      <c r="G263">
        <v>3</v>
      </c>
      <c r="H263">
        <v>184</v>
      </c>
      <c r="I263">
        <f>VLOOKUP($B263,wau!$A:$D,4,0)</f>
        <v>656</v>
      </c>
      <c r="J263">
        <f>VLOOKUP($C263,mau!$A:$D,4,0)</f>
        <v>1544</v>
      </c>
      <c r="K263" s="3">
        <f t="shared" si="8"/>
        <v>0.28048780487804881</v>
      </c>
      <c r="L263" s="3">
        <f t="shared" si="9"/>
        <v>0.11917098445595854</v>
      </c>
    </row>
    <row r="264" spans="1:12" x14ac:dyDescent="0.25">
      <c r="A264" s="1">
        <v>45006</v>
      </c>
      <c r="B264" s="1">
        <v>45005</v>
      </c>
      <c r="C264" s="1">
        <v>44986</v>
      </c>
      <c r="D264">
        <v>2023</v>
      </c>
      <c r="E264">
        <v>12</v>
      </c>
      <c r="F264">
        <v>2023</v>
      </c>
      <c r="G264">
        <v>3</v>
      </c>
      <c r="H264">
        <v>194</v>
      </c>
      <c r="I264">
        <f>VLOOKUP($B264,wau!$A:$D,4,0)</f>
        <v>656</v>
      </c>
      <c r="J264">
        <f>VLOOKUP($C264,mau!$A:$D,4,0)</f>
        <v>1544</v>
      </c>
      <c r="K264" s="3">
        <f t="shared" si="8"/>
        <v>0.29573170731707316</v>
      </c>
      <c r="L264" s="3">
        <f t="shared" si="9"/>
        <v>0.12564766839378239</v>
      </c>
    </row>
    <row r="265" spans="1:12" x14ac:dyDescent="0.25">
      <c r="A265" s="1">
        <v>45007</v>
      </c>
      <c r="B265" s="1">
        <v>45005</v>
      </c>
      <c r="C265" s="1">
        <v>44986</v>
      </c>
      <c r="D265">
        <v>2023</v>
      </c>
      <c r="E265">
        <v>12</v>
      </c>
      <c r="F265">
        <v>2023</v>
      </c>
      <c r="G265">
        <v>3</v>
      </c>
      <c r="H265">
        <v>131</v>
      </c>
      <c r="I265">
        <f>VLOOKUP($B265,wau!$A:$D,4,0)</f>
        <v>656</v>
      </c>
      <c r="J265">
        <f>VLOOKUP($C265,mau!$A:$D,4,0)</f>
        <v>1544</v>
      </c>
      <c r="K265" s="3">
        <f t="shared" si="8"/>
        <v>0.19969512195121952</v>
      </c>
      <c r="L265" s="3">
        <f t="shared" si="9"/>
        <v>8.4844559585492224E-2</v>
      </c>
    </row>
    <row r="266" spans="1:12" x14ac:dyDescent="0.25">
      <c r="A266" s="1">
        <v>45008</v>
      </c>
      <c r="B266" s="1">
        <v>45005</v>
      </c>
      <c r="C266" s="1">
        <v>44986</v>
      </c>
      <c r="D266">
        <v>2023</v>
      </c>
      <c r="E266">
        <v>12</v>
      </c>
      <c r="F266">
        <v>2023</v>
      </c>
      <c r="G266">
        <v>3</v>
      </c>
      <c r="H266">
        <v>176</v>
      </c>
      <c r="I266">
        <f>VLOOKUP($B266,wau!$A:$D,4,0)</f>
        <v>656</v>
      </c>
      <c r="J266">
        <f>VLOOKUP($C266,mau!$A:$D,4,0)</f>
        <v>1544</v>
      </c>
      <c r="K266" s="3">
        <f t="shared" si="8"/>
        <v>0.26829268292682928</v>
      </c>
      <c r="L266" s="3">
        <f t="shared" si="9"/>
        <v>0.11398963730569948</v>
      </c>
    </row>
    <row r="267" spans="1:12" x14ac:dyDescent="0.25">
      <c r="A267" s="1">
        <v>45009</v>
      </c>
      <c r="B267" s="1">
        <v>45005</v>
      </c>
      <c r="C267" s="1">
        <v>44986</v>
      </c>
      <c r="D267">
        <v>2023</v>
      </c>
      <c r="E267">
        <v>12</v>
      </c>
      <c r="F267">
        <v>2023</v>
      </c>
      <c r="G267">
        <v>3</v>
      </c>
      <c r="H267">
        <v>136</v>
      </c>
      <c r="I267">
        <f>VLOOKUP($B267,wau!$A:$D,4,0)</f>
        <v>656</v>
      </c>
      <c r="J267">
        <f>VLOOKUP($C267,mau!$A:$D,4,0)</f>
        <v>1544</v>
      </c>
      <c r="K267" s="3">
        <f t="shared" si="8"/>
        <v>0.2073170731707317</v>
      </c>
      <c r="L267" s="3">
        <f t="shared" si="9"/>
        <v>8.8082901554404139E-2</v>
      </c>
    </row>
    <row r="268" spans="1:12" x14ac:dyDescent="0.25">
      <c r="A268" s="1">
        <v>45010</v>
      </c>
      <c r="B268" s="1">
        <v>45005</v>
      </c>
      <c r="C268" s="1">
        <v>44986</v>
      </c>
      <c r="D268">
        <v>2023</v>
      </c>
      <c r="E268">
        <v>12</v>
      </c>
      <c r="F268">
        <v>2023</v>
      </c>
      <c r="G268">
        <v>3</v>
      </c>
      <c r="H268">
        <v>153</v>
      </c>
      <c r="I268">
        <f>VLOOKUP($B268,wau!$A:$D,4,0)</f>
        <v>656</v>
      </c>
      <c r="J268">
        <f>VLOOKUP($C268,mau!$A:$D,4,0)</f>
        <v>1544</v>
      </c>
      <c r="K268" s="3">
        <f t="shared" si="8"/>
        <v>0.23323170731707318</v>
      </c>
      <c r="L268" s="3">
        <f t="shared" si="9"/>
        <v>9.9093264248704668E-2</v>
      </c>
    </row>
    <row r="269" spans="1:12" x14ac:dyDescent="0.25">
      <c r="A269" s="1">
        <v>45011</v>
      </c>
      <c r="B269" s="1">
        <v>45005</v>
      </c>
      <c r="C269" s="1">
        <v>44986</v>
      </c>
      <c r="D269">
        <v>2023</v>
      </c>
      <c r="E269">
        <v>12</v>
      </c>
      <c r="F269">
        <v>2023</v>
      </c>
      <c r="G269">
        <v>3</v>
      </c>
      <c r="H269">
        <v>159</v>
      </c>
      <c r="I269">
        <f>VLOOKUP($B269,wau!$A:$D,4,0)</f>
        <v>656</v>
      </c>
      <c r="J269">
        <f>VLOOKUP($C269,mau!$A:$D,4,0)</f>
        <v>1544</v>
      </c>
      <c r="K269" s="3">
        <f t="shared" si="8"/>
        <v>0.2423780487804878</v>
      </c>
      <c r="L269" s="3">
        <f t="shared" si="9"/>
        <v>0.10297927461139897</v>
      </c>
    </row>
    <row r="270" spans="1:12" x14ac:dyDescent="0.25">
      <c r="A270" s="1">
        <v>45012</v>
      </c>
      <c r="B270" s="1">
        <v>45012</v>
      </c>
      <c r="C270" s="1">
        <v>44986</v>
      </c>
      <c r="D270">
        <v>2023</v>
      </c>
      <c r="E270">
        <v>13</v>
      </c>
      <c r="F270">
        <v>2023</v>
      </c>
      <c r="G270">
        <v>3</v>
      </c>
      <c r="H270">
        <v>143</v>
      </c>
      <c r="I270">
        <f>VLOOKUP($B270,wau!$A:$D,4,0)</f>
        <v>661</v>
      </c>
      <c r="J270">
        <f>VLOOKUP($C270,mau!$A:$D,4,0)</f>
        <v>1544</v>
      </c>
      <c r="K270" s="3">
        <f t="shared" si="8"/>
        <v>0.21633888048411498</v>
      </c>
      <c r="L270" s="3">
        <f t="shared" si="9"/>
        <v>9.2616580310880825E-2</v>
      </c>
    </row>
    <row r="271" spans="1:12" x14ac:dyDescent="0.25">
      <c r="A271" s="1">
        <v>45013</v>
      </c>
      <c r="B271" s="1">
        <v>45012</v>
      </c>
      <c r="C271" s="1">
        <v>44986</v>
      </c>
      <c r="D271">
        <v>2023</v>
      </c>
      <c r="E271">
        <v>13</v>
      </c>
      <c r="F271">
        <v>2023</v>
      </c>
      <c r="G271">
        <v>3</v>
      </c>
      <c r="H271">
        <v>156</v>
      </c>
      <c r="I271">
        <f>VLOOKUP($B271,wau!$A:$D,4,0)</f>
        <v>661</v>
      </c>
      <c r="J271">
        <f>VLOOKUP($C271,mau!$A:$D,4,0)</f>
        <v>1544</v>
      </c>
      <c r="K271" s="3">
        <f t="shared" si="8"/>
        <v>0.23600605143721634</v>
      </c>
      <c r="L271" s="3">
        <f t="shared" si="9"/>
        <v>0.10103626943005181</v>
      </c>
    </row>
    <row r="272" spans="1:12" x14ac:dyDescent="0.25">
      <c r="A272" s="1">
        <v>45014</v>
      </c>
      <c r="B272" s="1">
        <v>45012</v>
      </c>
      <c r="C272" s="1">
        <v>44986</v>
      </c>
      <c r="D272">
        <v>2023</v>
      </c>
      <c r="E272">
        <v>13</v>
      </c>
      <c r="F272">
        <v>2023</v>
      </c>
      <c r="G272">
        <v>3</v>
      </c>
      <c r="H272">
        <v>151</v>
      </c>
      <c r="I272">
        <f>VLOOKUP($B272,wau!$A:$D,4,0)</f>
        <v>661</v>
      </c>
      <c r="J272">
        <f>VLOOKUP($C272,mau!$A:$D,4,0)</f>
        <v>1544</v>
      </c>
      <c r="K272" s="3">
        <f t="shared" si="8"/>
        <v>0.22844175491679275</v>
      </c>
      <c r="L272" s="3">
        <f t="shared" si="9"/>
        <v>9.7797927461139897E-2</v>
      </c>
    </row>
    <row r="273" spans="1:12" x14ac:dyDescent="0.25">
      <c r="A273" s="1">
        <v>45015</v>
      </c>
      <c r="B273" s="1">
        <v>45012</v>
      </c>
      <c r="C273" s="1">
        <v>44986</v>
      </c>
      <c r="D273">
        <v>2023</v>
      </c>
      <c r="E273">
        <v>13</v>
      </c>
      <c r="F273">
        <v>2023</v>
      </c>
      <c r="G273">
        <v>3</v>
      </c>
      <c r="H273">
        <v>148</v>
      </c>
      <c r="I273">
        <f>VLOOKUP($B273,wau!$A:$D,4,0)</f>
        <v>661</v>
      </c>
      <c r="J273">
        <f>VLOOKUP($C273,mau!$A:$D,4,0)</f>
        <v>1544</v>
      </c>
      <c r="K273" s="3">
        <f t="shared" si="8"/>
        <v>0.22390317700453857</v>
      </c>
      <c r="L273" s="3">
        <f t="shared" si="9"/>
        <v>9.585492227979274E-2</v>
      </c>
    </row>
    <row r="274" spans="1:12" x14ac:dyDescent="0.25">
      <c r="A274" s="1">
        <v>45016</v>
      </c>
      <c r="B274" s="1">
        <v>45012</v>
      </c>
      <c r="C274" s="1">
        <v>44986</v>
      </c>
      <c r="D274">
        <v>2023</v>
      </c>
      <c r="E274">
        <v>13</v>
      </c>
      <c r="F274">
        <v>2023</v>
      </c>
      <c r="G274">
        <v>3</v>
      </c>
      <c r="H274">
        <v>184</v>
      </c>
      <c r="I274">
        <f>VLOOKUP($B274,wau!$A:$D,4,0)</f>
        <v>661</v>
      </c>
      <c r="J274">
        <f>VLOOKUP($C274,mau!$A:$D,4,0)</f>
        <v>1544</v>
      </c>
      <c r="K274" s="3">
        <f t="shared" si="8"/>
        <v>0.2783661119515885</v>
      </c>
      <c r="L274" s="3">
        <f t="shared" si="9"/>
        <v>0.11917098445595854</v>
      </c>
    </row>
    <row r="275" spans="1:12" x14ac:dyDescent="0.25">
      <c r="A275" s="1">
        <v>45017</v>
      </c>
      <c r="B275" s="1">
        <v>45012</v>
      </c>
      <c r="C275" s="1">
        <v>45017</v>
      </c>
      <c r="D275">
        <v>2023</v>
      </c>
      <c r="E275">
        <v>13</v>
      </c>
      <c r="F275">
        <v>2023</v>
      </c>
      <c r="G275">
        <v>4</v>
      </c>
      <c r="H275">
        <v>204</v>
      </c>
      <c r="I275">
        <f>VLOOKUP($B275,wau!$A:$D,4,0)</f>
        <v>661</v>
      </c>
      <c r="J275">
        <f>VLOOKUP($C275,mau!$A:$D,4,0)</f>
        <v>1027</v>
      </c>
      <c r="K275" s="3">
        <f t="shared" si="8"/>
        <v>0.30862329803328292</v>
      </c>
      <c r="L275" s="3">
        <f t="shared" si="9"/>
        <v>0.19863680623174293</v>
      </c>
    </row>
    <row r="276" spans="1:12" x14ac:dyDescent="0.25">
      <c r="A276" s="1">
        <v>45018</v>
      </c>
      <c r="B276" s="1">
        <v>45012</v>
      </c>
      <c r="C276" s="1">
        <v>45017</v>
      </c>
      <c r="D276">
        <v>2023</v>
      </c>
      <c r="E276">
        <v>13</v>
      </c>
      <c r="F276">
        <v>2023</v>
      </c>
      <c r="G276">
        <v>4</v>
      </c>
      <c r="H276">
        <v>215</v>
      </c>
      <c r="I276">
        <f>VLOOKUP($B276,wau!$A:$D,4,0)</f>
        <v>661</v>
      </c>
      <c r="J276">
        <f>VLOOKUP($C276,mau!$A:$D,4,0)</f>
        <v>1027</v>
      </c>
      <c r="K276" s="3">
        <f t="shared" si="8"/>
        <v>0.32526475037821484</v>
      </c>
      <c r="L276" s="3">
        <f t="shared" si="9"/>
        <v>0.20934761441090555</v>
      </c>
    </row>
    <row r="277" spans="1:12" x14ac:dyDescent="0.25">
      <c r="A277" s="1">
        <v>45019</v>
      </c>
      <c r="B277" s="1">
        <v>45019</v>
      </c>
      <c r="C277" s="1">
        <v>45017</v>
      </c>
      <c r="D277">
        <v>2023</v>
      </c>
      <c r="E277">
        <v>14</v>
      </c>
      <c r="F277">
        <v>2023</v>
      </c>
      <c r="G277">
        <v>4</v>
      </c>
      <c r="H277">
        <v>198</v>
      </c>
      <c r="I277">
        <f>VLOOKUP($B277,wau!$A:$D,4,0)</f>
        <v>699</v>
      </c>
      <c r="J277">
        <f>VLOOKUP($C277,mau!$A:$D,4,0)</f>
        <v>1027</v>
      </c>
      <c r="K277" s="3">
        <f t="shared" si="8"/>
        <v>0.2832618025751073</v>
      </c>
      <c r="L277" s="3">
        <f t="shared" si="9"/>
        <v>0.19279454722492698</v>
      </c>
    </row>
    <row r="278" spans="1:12" x14ac:dyDescent="0.25">
      <c r="A278" s="1">
        <v>45020</v>
      </c>
      <c r="B278" s="1">
        <v>45019</v>
      </c>
      <c r="C278" s="1">
        <v>45017</v>
      </c>
      <c r="D278">
        <v>2023</v>
      </c>
      <c r="E278">
        <v>14</v>
      </c>
      <c r="F278">
        <v>2023</v>
      </c>
      <c r="G278">
        <v>4</v>
      </c>
      <c r="H278">
        <v>199</v>
      </c>
      <c r="I278">
        <f>VLOOKUP($B278,wau!$A:$D,4,0)</f>
        <v>699</v>
      </c>
      <c r="J278">
        <f>VLOOKUP($C278,mau!$A:$D,4,0)</f>
        <v>1027</v>
      </c>
      <c r="K278" s="3">
        <f t="shared" si="8"/>
        <v>0.28469241773962806</v>
      </c>
      <c r="L278" s="3">
        <f t="shared" si="9"/>
        <v>0.19376825705939629</v>
      </c>
    </row>
    <row r="279" spans="1:12" x14ac:dyDescent="0.25">
      <c r="A279" s="1">
        <v>45021</v>
      </c>
      <c r="B279" s="1">
        <v>45019</v>
      </c>
      <c r="C279" s="1">
        <v>45017</v>
      </c>
      <c r="D279">
        <v>2023</v>
      </c>
      <c r="E279">
        <v>14</v>
      </c>
      <c r="F279">
        <v>2023</v>
      </c>
      <c r="G279">
        <v>4</v>
      </c>
      <c r="H279">
        <v>188</v>
      </c>
      <c r="I279">
        <f>VLOOKUP($B279,wau!$A:$D,4,0)</f>
        <v>699</v>
      </c>
      <c r="J279">
        <f>VLOOKUP($C279,mau!$A:$D,4,0)</f>
        <v>1027</v>
      </c>
      <c r="K279" s="3">
        <f t="shared" si="8"/>
        <v>0.26895565092989987</v>
      </c>
      <c r="L279" s="3">
        <f t="shared" si="9"/>
        <v>0.1830574488802337</v>
      </c>
    </row>
    <row r="280" spans="1:12" x14ac:dyDescent="0.25">
      <c r="A280" s="1">
        <v>45022</v>
      </c>
      <c r="B280" s="1">
        <v>45019</v>
      </c>
      <c r="C280" s="1">
        <v>45017</v>
      </c>
      <c r="D280">
        <v>2023</v>
      </c>
      <c r="E280">
        <v>14</v>
      </c>
      <c r="F280">
        <v>2023</v>
      </c>
      <c r="G280">
        <v>4</v>
      </c>
      <c r="H280">
        <v>197</v>
      </c>
      <c r="I280">
        <f>VLOOKUP($B280,wau!$A:$D,4,0)</f>
        <v>699</v>
      </c>
      <c r="J280">
        <f>VLOOKUP($C280,mau!$A:$D,4,0)</f>
        <v>1027</v>
      </c>
      <c r="K280" s="3">
        <f t="shared" si="8"/>
        <v>0.28183118741058655</v>
      </c>
      <c r="L280" s="3">
        <f t="shared" si="9"/>
        <v>0.19182083739045763</v>
      </c>
    </row>
    <row r="281" spans="1:12" x14ac:dyDescent="0.25">
      <c r="A281" s="1">
        <v>45023</v>
      </c>
      <c r="B281" s="1">
        <v>45019</v>
      </c>
      <c r="C281" s="1">
        <v>45017</v>
      </c>
      <c r="D281">
        <v>2023</v>
      </c>
      <c r="E281">
        <v>14</v>
      </c>
      <c r="F281">
        <v>2023</v>
      </c>
      <c r="G281">
        <v>4</v>
      </c>
      <c r="H281">
        <v>192</v>
      </c>
      <c r="I281">
        <f>VLOOKUP($B281,wau!$A:$D,4,0)</f>
        <v>699</v>
      </c>
      <c r="J281">
        <f>VLOOKUP($C281,mau!$A:$D,4,0)</f>
        <v>1027</v>
      </c>
      <c r="K281" s="3">
        <f t="shared" si="8"/>
        <v>0.27467811158798283</v>
      </c>
      <c r="L281" s="3">
        <f t="shared" si="9"/>
        <v>0.186952288218111</v>
      </c>
    </row>
    <row r="282" spans="1:12" x14ac:dyDescent="0.25">
      <c r="A282" s="1">
        <v>45024</v>
      </c>
      <c r="B282" s="1">
        <v>45019</v>
      </c>
      <c r="C282" s="1">
        <v>45017</v>
      </c>
      <c r="D282">
        <v>2023</v>
      </c>
      <c r="E282">
        <v>14</v>
      </c>
      <c r="F282">
        <v>2023</v>
      </c>
      <c r="G282">
        <v>4</v>
      </c>
      <c r="H282">
        <v>200</v>
      </c>
      <c r="I282">
        <f>VLOOKUP($B282,wau!$A:$D,4,0)</f>
        <v>699</v>
      </c>
      <c r="J282">
        <f>VLOOKUP($C282,mau!$A:$D,4,0)</f>
        <v>1027</v>
      </c>
      <c r="K282" s="3">
        <f t="shared" si="8"/>
        <v>0.28612303290414881</v>
      </c>
      <c r="L282" s="3">
        <f t="shared" si="9"/>
        <v>0.19474196689386564</v>
      </c>
    </row>
    <row r="283" spans="1:12" x14ac:dyDescent="0.25">
      <c r="A283" s="1">
        <v>45025</v>
      </c>
      <c r="B283" s="1">
        <v>45019</v>
      </c>
      <c r="C283" s="1">
        <v>45017</v>
      </c>
      <c r="D283">
        <v>2023</v>
      </c>
      <c r="E283">
        <v>14</v>
      </c>
      <c r="F283">
        <v>2023</v>
      </c>
      <c r="G283">
        <v>4</v>
      </c>
      <c r="H283">
        <v>192</v>
      </c>
      <c r="I283">
        <f>VLOOKUP($B283,wau!$A:$D,4,0)</f>
        <v>699</v>
      </c>
      <c r="J283">
        <f>VLOOKUP($C283,mau!$A:$D,4,0)</f>
        <v>1027</v>
      </c>
      <c r="K283" s="3">
        <f t="shared" si="8"/>
        <v>0.27467811158798283</v>
      </c>
      <c r="L283" s="3">
        <f t="shared" si="9"/>
        <v>0.186952288218111</v>
      </c>
    </row>
    <row r="284" spans="1:12" x14ac:dyDescent="0.25">
      <c r="A284" s="1">
        <v>45026</v>
      </c>
      <c r="B284" s="1">
        <v>45026</v>
      </c>
      <c r="C284" s="1">
        <v>45017</v>
      </c>
      <c r="D284">
        <v>2023</v>
      </c>
      <c r="E284">
        <v>15</v>
      </c>
      <c r="F284">
        <v>2023</v>
      </c>
      <c r="G284">
        <v>4</v>
      </c>
      <c r="H284">
        <v>172</v>
      </c>
      <c r="I284">
        <f>VLOOKUP($B284,wau!$A:$D,4,0)</f>
        <v>614</v>
      </c>
      <c r="J284">
        <f>VLOOKUP($C284,mau!$A:$D,4,0)</f>
        <v>1027</v>
      </c>
      <c r="K284" s="3">
        <f t="shared" si="8"/>
        <v>0.28013029315960913</v>
      </c>
      <c r="L284" s="3">
        <f t="shared" si="9"/>
        <v>0.16747809152872445</v>
      </c>
    </row>
    <row r="285" spans="1:12" x14ac:dyDescent="0.25">
      <c r="A285" s="1">
        <v>45027</v>
      </c>
      <c r="B285" s="1">
        <v>45026</v>
      </c>
      <c r="C285" s="1">
        <v>45017</v>
      </c>
      <c r="D285">
        <v>2023</v>
      </c>
      <c r="E285">
        <v>15</v>
      </c>
      <c r="F285">
        <v>2023</v>
      </c>
      <c r="G285">
        <v>4</v>
      </c>
      <c r="H285">
        <v>160</v>
      </c>
      <c r="I285">
        <f>VLOOKUP($B285,wau!$A:$D,4,0)</f>
        <v>614</v>
      </c>
      <c r="J285">
        <f>VLOOKUP($C285,mau!$A:$D,4,0)</f>
        <v>1027</v>
      </c>
      <c r="K285" s="3">
        <f t="shared" si="8"/>
        <v>0.26058631921824105</v>
      </c>
      <c r="L285" s="3">
        <f t="shared" si="9"/>
        <v>0.15579357351509251</v>
      </c>
    </row>
    <row r="286" spans="1:12" x14ac:dyDescent="0.25">
      <c r="A286" s="1">
        <v>45028</v>
      </c>
      <c r="B286" s="1">
        <v>45026</v>
      </c>
      <c r="C286" s="1">
        <v>45017</v>
      </c>
      <c r="D286">
        <v>2023</v>
      </c>
      <c r="E286">
        <v>15</v>
      </c>
      <c r="F286">
        <v>2023</v>
      </c>
      <c r="G286">
        <v>4</v>
      </c>
      <c r="H286">
        <v>168</v>
      </c>
      <c r="I286">
        <f>VLOOKUP($B286,wau!$A:$D,4,0)</f>
        <v>614</v>
      </c>
      <c r="J286">
        <f>VLOOKUP($C286,mau!$A:$D,4,0)</f>
        <v>1027</v>
      </c>
      <c r="K286" s="3">
        <f t="shared" si="8"/>
        <v>0.2736156351791531</v>
      </c>
      <c r="L286" s="3">
        <f t="shared" si="9"/>
        <v>0.16358325219084713</v>
      </c>
    </row>
    <row r="287" spans="1:12" x14ac:dyDescent="0.25">
      <c r="A287" s="1">
        <v>45029</v>
      </c>
      <c r="B287" s="1">
        <v>45026</v>
      </c>
      <c r="C287" s="1">
        <v>45017</v>
      </c>
      <c r="D287">
        <v>2023</v>
      </c>
      <c r="E287">
        <v>15</v>
      </c>
      <c r="F287">
        <v>2023</v>
      </c>
      <c r="G287">
        <v>4</v>
      </c>
      <c r="H287">
        <v>171</v>
      </c>
      <c r="I287">
        <f>VLOOKUP($B287,wau!$A:$D,4,0)</f>
        <v>614</v>
      </c>
      <c r="J287">
        <f>VLOOKUP($C287,mau!$A:$D,4,0)</f>
        <v>1027</v>
      </c>
      <c r="K287" s="3">
        <f t="shared" si="8"/>
        <v>0.27850162866449513</v>
      </c>
      <c r="L287" s="3">
        <f t="shared" si="9"/>
        <v>0.1665043816942551</v>
      </c>
    </row>
    <row r="288" spans="1:12" x14ac:dyDescent="0.25">
      <c r="A288" s="1">
        <v>45030</v>
      </c>
      <c r="B288" s="1">
        <v>45026</v>
      </c>
      <c r="C288" s="1">
        <v>45017</v>
      </c>
      <c r="D288">
        <v>2023</v>
      </c>
      <c r="E288">
        <v>15</v>
      </c>
      <c r="F288">
        <v>2023</v>
      </c>
      <c r="G288">
        <v>4</v>
      </c>
      <c r="H288">
        <v>154</v>
      </c>
      <c r="I288">
        <f>VLOOKUP($B288,wau!$A:$D,4,0)</f>
        <v>614</v>
      </c>
      <c r="J288">
        <f>VLOOKUP($C288,mau!$A:$D,4,0)</f>
        <v>1027</v>
      </c>
      <c r="K288" s="3">
        <f t="shared" si="8"/>
        <v>0.250814332247557</v>
      </c>
      <c r="L288" s="3">
        <f t="shared" si="9"/>
        <v>0.14995131450827653</v>
      </c>
    </row>
    <row r="289" spans="1:12" x14ac:dyDescent="0.25">
      <c r="A289" s="1">
        <v>45031</v>
      </c>
      <c r="B289" s="1">
        <v>45026</v>
      </c>
      <c r="C289" s="1">
        <v>45017</v>
      </c>
      <c r="D289">
        <v>2023</v>
      </c>
      <c r="E289">
        <v>15</v>
      </c>
      <c r="F289">
        <v>2023</v>
      </c>
      <c r="G289">
        <v>4</v>
      </c>
      <c r="H289">
        <v>146</v>
      </c>
      <c r="I289">
        <f>VLOOKUP($B289,wau!$A:$D,4,0)</f>
        <v>614</v>
      </c>
      <c r="J289">
        <f>VLOOKUP($C289,mau!$A:$D,4,0)</f>
        <v>1027</v>
      </c>
      <c r="K289" s="3">
        <f t="shared" si="8"/>
        <v>0.23778501628664495</v>
      </c>
      <c r="L289" s="3">
        <f t="shared" si="9"/>
        <v>0.14216163583252192</v>
      </c>
    </row>
    <row r="290" spans="1:12" x14ac:dyDescent="0.25">
      <c r="A290" s="1">
        <v>45032</v>
      </c>
      <c r="B290" s="1">
        <v>45026</v>
      </c>
      <c r="C290" s="1">
        <v>45017</v>
      </c>
      <c r="D290">
        <v>2023</v>
      </c>
      <c r="E290">
        <v>15</v>
      </c>
      <c r="F290">
        <v>2023</v>
      </c>
      <c r="G290">
        <v>4</v>
      </c>
      <c r="H290">
        <v>166</v>
      </c>
      <c r="I290">
        <f>VLOOKUP($B290,wau!$A:$D,4,0)</f>
        <v>614</v>
      </c>
      <c r="J290">
        <f>VLOOKUP($C290,mau!$A:$D,4,0)</f>
        <v>1027</v>
      </c>
      <c r="K290" s="3">
        <f t="shared" si="8"/>
        <v>0.27035830618892509</v>
      </c>
      <c r="L290" s="3">
        <f t="shared" si="9"/>
        <v>0.16163583252190847</v>
      </c>
    </row>
    <row r="291" spans="1:12" x14ac:dyDescent="0.25">
      <c r="A291" s="1">
        <v>45033</v>
      </c>
      <c r="B291" s="1">
        <v>45033</v>
      </c>
      <c r="C291" s="1">
        <v>45017</v>
      </c>
      <c r="D291">
        <v>2023</v>
      </c>
      <c r="E291">
        <v>16</v>
      </c>
      <c r="F291">
        <v>2023</v>
      </c>
      <c r="G291">
        <v>4</v>
      </c>
      <c r="H291">
        <v>134</v>
      </c>
      <c r="I291">
        <f>VLOOKUP($B291,wau!$A:$D,4,0)</f>
        <v>545</v>
      </c>
      <c r="J291">
        <f>VLOOKUP($C291,mau!$A:$D,4,0)</f>
        <v>1027</v>
      </c>
      <c r="K291" s="3">
        <f t="shared" si="8"/>
        <v>0.24587155963302754</v>
      </c>
      <c r="L291" s="3">
        <f t="shared" si="9"/>
        <v>0.13047711781888996</v>
      </c>
    </row>
    <row r="292" spans="1:12" x14ac:dyDescent="0.25">
      <c r="A292" s="1">
        <v>45034</v>
      </c>
      <c r="B292" s="1">
        <v>45033</v>
      </c>
      <c r="C292" s="1">
        <v>45017</v>
      </c>
      <c r="D292">
        <v>2023</v>
      </c>
      <c r="E292">
        <v>16</v>
      </c>
      <c r="F292">
        <v>2023</v>
      </c>
      <c r="G292">
        <v>4</v>
      </c>
      <c r="H292">
        <v>149</v>
      </c>
      <c r="I292">
        <f>VLOOKUP($B292,wau!$A:$D,4,0)</f>
        <v>545</v>
      </c>
      <c r="J292">
        <f>VLOOKUP($C292,mau!$A:$D,4,0)</f>
        <v>1027</v>
      </c>
      <c r="K292" s="3">
        <f t="shared" si="8"/>
        <v>0.27339449541284405</v>
      </c>
      <c r="L292" s="3">
        <f t="shared" si="9"/>
        <v>0.1450827653359299</v>
      </c>
    </row>
    <row r="293" spans="1:12" x14ac:dyDescent="0.25">
      <c r="A293" s="1">
        <v>45035</v>
      </c>
      <c r="B293" s="1">
        <v>45033</v>
      </c>
      <c r="C293" s="1">
        <v>45017</v>
      </c>
      <c r="D293">
        <v>2023</v>
      </c>
      <c r="E293">
        <v>16</v>
      </c>
      <c r="F293">
        <v>2023</v>
      </c>
      <c r="G293">
        <v>4</v>
      </c>
      <c r="H293">
        <v>132</v>
      </c>
      <c r="I293">
        <f>VLOOKUP($B293,wau!$A:$D,4,0)</f>
        <v>545</v>
      </c>
      <c r="J293">
        <f>VLOOKUP($C293,mau!$A:$D,4,0)</f>
        <v>1027</v>
      </c>
      <c r="K293" s="3">
        <f t="shared" si="8"/>
        <v>0.24220183486238533</v>
      </c>
      <c r="L293" s="3">
        <f t="shared" si="9"/>
        <v>0.12852969814995133</v>
      </c>
    </row>
    <row r="294" spans="1:12" x14ac:dyDescent="0.25">
      <c r="A294" s="1">
        <v>45036</v>
      </c>
      <c r="B294" s="1">
        <v>45033</v>
      </c>
      <c r="C294" s="1">
        <v>45017</v>
      </c>
      <c r="D294">
        <v>2023</v>
      </c>
      <c r="E294">
        <v>16</v>
      </c>
      <c r="F294">
        <v>2023</v>
      </c>
      <c r="G294">
        <v>4</v>
      </c>
      <c r="H294">
        <v>131</v>
      </c>
      <c r="I294">
        <f>VLOOKUP($B294,wau!$A:$D,4,0)</f>
        <v>545</v>
      </c>
      <c r="J294">
        <f>VLOOKUP($C294,mau!$A:$D,4,0)</f>
        <v>1027</v>
      </c>
      <c r="K294" s="3">
        <f t="shared" si="8"/>
        <v>0.24036697247706423</v>
      </c>
      <c r="L294" s="3">
        <f t="shared" si="9"/>
        <v>0.12755598831548198</v>
      </c>
    </row>
    <row r="295" spans="1:12" x14ac:dyDescent="0.25">
      <c r="A295" s="1">
        <v>45037</v>
      </c>
      <c r="B295" s="1">
        <v>45033</v>
      </c>
      <c r="C295" s="1">
        <v>45017</v>
      </c>
      <c r="D295">
        <v>2023</v>
      </c>
      <c r="E295">
        <v>16</v>
      </c>
      <c r="F295">
        <v>2023</v>
      </c>
      <c r="G295">
        <v>4</v>
      </c>
      <c r="H295">
        <v>104</v>
      </c>
      <c r="I295">
        <f>VLOOKUP($B295,wau!$A:$D,4,0)</f>
        <v>545</v>
      </c>
      <c r="J295">
        <f>VLOOKUP($C295,mau!$A:$D,4,0)</f>
        <v>1027</v>
      </c>
      <c r="K295" s="3">
        <f t="shared" si="8"/>
        <v>0.19082568807339451</v>
      </c>
      <c r="L295" s="3">
        <f t="shared" si="9"/>
        <v>0.10126582278481013</v>
      </c>
    </row>
    <row r="296" spans="1:12" x14ac:dyDescent="0.25">
      <c r="A296" s="1">
        <v>45038</v>
      </c>
      <c r="B296" s="1">
        <v>45033</v>
      </c>
      <c r="C296" s="1">
        <v>45017</v>
      </c>
      <c r="D296">
        <v>2023</v>
      </c>
      <c r="E296">
        <v>16</v>
      </c>
      <c r="F296">
        <v>2023</v>
      </c>
      <c r="G296">
        <v>4</v>
      </c>
      <c r="H296">
        <v>105</v>
      </c>
      <c r="I296">
        <f>VLOOKUP($B296,wau!$A:$D,4,0)</f>
        <v>545</v>
      </c>
      <c r="J296">
        <f>VLOOKUP($C296,mau!$A:$D,4,0)</f>
        <v>1027</v>
      </c>
      <c r="K296" s="3">
        <f t="shared" si="8"/>
        <v>0.19266055045871561</v>
      </c>
      <c r="L296" s="3">
        <f t="shared" si="9"/>
        <v>0.10223953261927946</v>
      </c>
    </row>
    <row r="297" spans="1:12" x14ac:dyDescent="0.25">
      <c r="A297" s="1">
        <v>45039</v>
      </c>
      <c r="B297" s="1">
        <v>45033</v>
      </c>
      <c r="C297" s="1">
        <v>45017</v>
      </c>
      <c r="D297">
        <v>2023</v>
      </c>
      <c r="E297">
        <v>16</v>
      </c>
      <c r="F297">
        <v>2023</v>
      </c>
      <c r="G297">
        <v>4</v>
      </c>
      <c r="H297">
        <v>105</v>
      </c>
      <c r="I297">
        <f>VLOOKUP($B297,wau!$A:$D,4,0)</f>
        <v>545</v>
      </c>
      <c r="J297">
        <f>VLOOKUP($C297,mau!$A:$D,4,0)</f>
        <v>1027</v>
      </c>
      <c r="K297" s="3">
        <f t="shared" si="8"/>
        <v>0.19266055045871561</v>
      </c>
      <c r="L297" s="3">
        <f t="shared" si="9"/>
        <v>0.10223953261927946</v>
      </c>
    </row>
    <row r="298" spans="1:12" x14ac:dyDescent="0.25">
      <c r="A298" s="1">
        <v>45040</v>
      </c>
      <c r="B298" s="1">
        <v>45040</v>
      </c>
      <c r="C298" s="1">
        <v>45017</v>
      </c>
      <c r="D298">
        <v>2023</v>
      </c>
      <c r="E298">
        <v>17</v>
      </c>
      <c r="F298">
        <v>2023</v>
      </c>
      <c r="G298">
        <v>4</v>
      </c>
      <c r="H298">
        <v>90</v>
      </c>
      <c r="I298">
        <f>VLOOKUP($B298,wau!$A:$D,4,0)</f>
        <v>422</v>
      </c>
      <c r="J298">
        <f>VLOOKUP($C298,mau!$A:$D,4,0)</f>
        <v>1027</v>
      </c>
      <c r="K298" s="3">
        <f t="shared" si="8"/>
        <v>0.2132701421800948</v>
      </c>
      <c r="L298" s="3">
        <f t="shared" si="9"/>
        <v>8.7633885102239531E-2</v>
      </c>
    </row>
    <row r="299" spans="1:12" x14ac:dyDescent="0.25">
      <c r="A299" s="1">
        <v>45041</v>
      </c>
      <c r="B299" s="1">
        <v>45040</v>
      </c>
      <c r="C299" s="1">
        <v>45017</v>
      </c>
      <c r="D299">
        <v>2023</v>
      </c>
      <c r="E299">
        <v>17</v>
      </c>
      <c r="F299">
        <v>2023</v>
      </c>
      <c r="G299">
        <v>4</v>
      </c>
      <c r="H299">
        <v>101</v>
      </c>
      <c r="I299">
        <f>VLOOKUP($B299,wau!$A:$D,4,0)</f>
        <v>422</v>
      </c>
      <c r="J299">
        <f>VLOOKUP($C299,mau!$A:$D,4,0)</f>
        <v>1027</v>
      </c>
      <c r="K299" s="3">
        <f t="shared" si="8"/>
        <v>0.23933649289099526</v>
      </c>
      <c r="L299" s="3">
        <f t="shared" si="9"/>
        <v>9.8344693281402148E-2</v>
      </c>
    </row>
    <row r="300" spans="1:12" x14ac:dyDescent="0.25">
      <c r="A300" s="1">
        <v>45042</v>
      </c>
      <c r="B300" s="1">
        <v>45040</v>
      </c>
      <c r="C300" s="1">
        <v>45017</v>
      </c>
      <c r="D300">
        <v>2023</v>
      </c>
      <c r="E300">
        <v>17</v>
      </c>
      <c r="F300">
        <v>2023</v>
      </c>
      <c r="G300">
        <v>4</v>
      </c>
      <c r="H300">
        <v>92</v>
      </c>
      <c r="I300">
        <f>VLOOKUP($B300,wau!$A:$D,4,0)</f>
        <v>422</v>
      </c>
      <c r="J300">
        <f>VLOOKUP($C300,mau!$A:$D,4,0)</f>
        <v>1027</v>
      </c>
      <c r="K300" s="3">
        <f t="shared" si="8"/>
        <v>0.21800947867298578</v>
      </c>
      <c r="L300" s="3">
        <f t="shared" si="9"/>
        <v>8.9581304771178191E-2</v>
      </c>
    </row>
    <row r="301" spans="1:12" x14ac:dyDescent="0.25">
      <c r="A301" s="1">
        <v>45043</v>
      </c>
      <c r="B301" s="1">
        <v>45040</v>
      </c>
      <c r="C301" s="1">
        <v>45017</v>
      </c>
      <c r="D301">
        <v>2023</v>
      </c>
      <c r="E301">
        <v>17</v>
      </c>
      <c r="F301">
        <v>2023</v>
      </c>
      <c r="G301">
        <v>4</v>
      </c>
      <c r="H301">
        <v>68</v>
      </c>
      <c r="I301">
        <f>VLOOKUP($B301,wau!$A:$D,4,0)</f>
        <v>422</v>
      </c>
      <c r="J301">
        <f>VLOOKUP($C301,mau!$A:$D,4,0)</f>
        <v>1027</v>
      </c>
      <c r="K301" s="3">
        <f t="shared" si="8"/>
        <v>0.16113744075829384</v>
      </c>
      <c r="L301" s="3">
        <f t="shared" si="9"/>
        <v>6.621226874391431E-2</v>
      </c>
    </row>
    <row r="302" spans="1:12" x14ac:dyDescent="0.25">
      <c r="A302" s="1">
        <v>45044</v>
      </c>
      <c r="B302" s="1">
        <v>45040</v>
      </c>
      <c r="C302" s="1">
        <v>45017</v>
      </c>
      <c r="D302">
        <v>2023</v>
      </c>
      <c r="E302">
        <v>17</v>
      </c>
      <c r="F302">
        <v>2023</v>
      </c>
      <c r="G302">
        <v>4</v>
      </c>
      <c r="H302">
        <v>75</v>
      </c>
      <c r="I302">
        <f>VLOOKUP($B302,wau!$A:$D,4,0)</f>
        <v>422</v>
      </c>
      <c r="J302">
        <f>VLOOKUP($C302,mau!$A:$D,4,0)</f>
        <v>1027</v>
      </c>
      <c r="K302" s="3">
        <f t="shared" si="8"/>
        <v>0.17772511848341233</v>
      </c>
      <c r="L302" s="3">
        <f t="shared" si="9"/>
        <v>7.3028237585199607E-2</v>
      </c>
    </row>
    <row r="303" spans="1:12" x14ac:dyDescent="0.25">
      <c r="A303" s="1">
        <v>45045</v>
      </c>
      <c r="B303" s="1">
        <v>45040</v>
      </c>
      <c r="C303" s="1">
        <v>45017</v>
      </c>
      <c r="D303">
        <v>2023</v>
      </c>
      <c r="E303">
        <v>17</v>
      </c>
      <c r="F303">
        <v>2023</v>
      </c>
      <c r="G303">
        <v>4</v>
      </c>
      <c r="H303">
        <v>73</v>
      </c>
      <c r="I303">
        <f>VLOOKUP($B303,wau!$A:$D,4,0)</f>
        <v>422</v>
      </c>
      <c r="J303">
        <f>VLOOKUP($C303,mau!$A:$D,4,0)</f>
        <v>1027</v>
      </c>
      <c r="K303" s="3">
        <f t="shared" si="8"/>
        <v>0.17298578199052134</v>
      </c>
      <c r="L303" s="3">
        <f t="shared" si="9"/>
        <v>7.108081791626096E-2</v>
      </c>
    </row>
    <row r="304" spans="1:12" x14ac:dyDescent="0.25">
      <c r="A304" s="1">
        <v>45046</v>
      </c>
      <c r="B304" s="1">
        <v>45040</v>
      </c>
      <c r="C304" s="1">
        <v>45017</v>
      </c>
      <c r="D304">
        <v>2023</v>
      </c>
      <c r="E304">
        <v>17</v>
      </c>
      <c r="F304">
        <v>2023</v>
      </c>
      <c r="G304">
        <v>4</v>
      </c>
      <c r="H304">
        <v>71</v>
      </c>
      <c r="I304">
        <f>VLOOKUP($B304,wau!$A:$D,4,0)</f>
        <v>422</v>
      </c>
      <c r="J304">
        <f>VLOOKUP($C304,mau!$A:$D,4,0)</f>
        <v>1027</v>
      </c>
      <c r="K304" s="3">
        <f t="shared" si="8"/>
        <v>0.16824644549763032</v>
      </c>
      <c r="L304" s="3">
        <f t="shared" si="9"/>
        <v>6.91333982473223E-2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D874-0B47-4527-A472-9B3F67FB4258}">
  <dimension ref="A1:D45"/>
  <sheetViews>
    <sheetView workbookViewId="0">
      <selection activeCell="H13" sqref="H13"/>
    </sheetView>
  </sheetViews>
  <sheetFormatPr defaultRowHeight="15" x14ac:dyDescent="0.25"/>
  <cols>
    <col min="1" max="1" width="13" bestFit="1" customWidth="1"/>
    <col min="2" max="2" width="10.7109375" bestFit="1" customWidth="1"/>
    <col min="3" max="3" width="11.5703125" bestFit="1" customWidth="1"/>
    <col min="4" max="4" width="6.85546875" bestFit="1" customWidth="1"/>
  </cols>
  <sheetData>
    <row r="1" spans="1:4" x14ac:dyDescent="0.25">
      <c r="A1" t="s">
        <v>1</v>
      </c>
      <c r="B1" t="s">
        <v>3</v>
      </c>
      <c r="C1" t="s">
        <v>4</v>
      </c>
      <c r="D1" t="s">
        <v>8</v>
      </c>
    </row>
    <row r="2" spans="1:4" x14ac:dyDescent="0.25">
      <c r="A2" s="1">
        <v>44739</v>
      </c>
      <c r="B2">
        <v>2022</v>
      </c>
      <c r="C2">
        <v>26</v>
      </c>
      <c r="D2">
        <v>6</v>
      </c>
    </row>
    <row r="3" spans="1:4" x14ac:dyDescent="0.25">
      <c r="A3" s="1">
        <v>44746</v>
      </c>
      <c r="B3">
        <v>2022</v>
      </c>
      <c r="C3">
        <v>27</v>
      </c>
      <c r="D3">
        <v>59</v>
      </c>
    </row>
    <row r="4" spans="1:4" x14ac:dyDescent="0.25">
      <c r="A4" s="1">
        <v>44753</v>
      </c>
      <c r="B4">
        <v>2022</v>
      </c>
      <c r="C4">
        <v>28</v>
      </c>
      <c r="D4">
        <v>92</v>
      </c>
    </row>
    <row r="5" spans="1:4" x14ac:dyDescent="0.25">
      <c r="A5" s="1">
        <v>44760</v>
      </c>
      <c r="B5">
        <v>2022</v>
      </c>
      <c r="C5">
        <v>29</v>
      </c>
      <c r="D5">
        <v>133</v>
      </c>
    </row>
    <row r="6" spans="1:4" x14ac:dyDescent="0.25">
      <c r="A6" s="1">
        <v>44767</v>
      </c>
      <c r="B6">
        <v>2022</v>
      </c>
      <c r="C6">
        <v>30</v>
      </c>
      <c r="D6">
        <v>183</v>
      </c>
    </row>
    <row r="7" spans="1:4" x14ac:dyDescent="0.25">
      <c r="A7" s="1">
        <v>44774</v>
      </c>
      <c r="B7">
        <v>2022</v>
      </c>
      <c r="C7">
        <v>31</v>
      </c>
      <c r="D7">
        <v>202</v>
      </c>
    </row>
    <row r="8" spans="1:4" x14ac:dyDescent="0.25">
      <c r="A8" s="1">
        <v>44781</v>
      </c>
      <c r="B8">
        <v>2022</v>
      </c>
      <c r="C8">
        <v>32</v>
      </c>
      <c r="D8">
        <v>193</v>
      </c>
    </row>
    <row r="9" spans="1:4" x14ac:dyDescent="0.25">
      <c r="A9" s="1">
        <v>44788</v>
      </c>
      <c r="B9">
        <v>2022</v>
      </c>
      <c r="C9">
        <v>33</v>
      </c>
      <c r="D9">
        <v>201</v>
      </c>
    </row>
    <row r="10" spans="1:4" x14ac:dyDescent="0.25">
      <c r="A10" s="1">
        <v>44795</v>
      </c>
      <c r="B10">
        <v>2022</v>
      </c>
      <c r="C10">
        <v>34</v>
      </c>
      <c r="D10">
        <v>206</v>
      </c>
    </row>
    <row r="11" spans="1:4" x14ac:dyDescent="0.25">
      <c r="A11" s="1">
        <v>44802</v>
      </c>
      <c r="B11">
        <v>2022</v>
      </c>
      <c r="C11">
        <v>35</v>
      </c>
      <c r="D11">
        <v>192</v>
      </c>
    </row>
    <row r="12" spans="1:4" x14ac:dyDescent="0.25">
      <c r="A12" s="1">
        <v>44809</v>
      </c>
      <c r="B12">
        <v>2022</v>
      </c>
      <c r="C12">
        <v>36</v>
      </c>
      <c r="D12">
        <v>196</v>
      </c>
    </row>
    <row r="13" spans="1:4" x14ac:dyDescent="0.25">
      <c r="A13" s="1">
        <v>44816</v>
      </c>
      <c r="B13">
        <v>2022</v>
      </c>
      <c r="C13">
        <v>37</v>
      </c>
      <c r="D13">
        <v>205</v>
      </c>
    </row>
    <row r="14" spans="1:4" x14ac:dyDescent="0.25">
      <c r="A14" s="1">
        <v>44823</v>
      </c>
      <c r="B14">
        <v>2022</v>
      </c>
      <c r="C14">
        <v>38</v>
      </c>
      <c r="D14">
        <v>213</v>
      </c>
    </row>
    <row r="15" spans="1:4" x14ac:dyDescent="0.25">
      <c r="A15" s="1">
        <v>44830</v>
      </c>
      <c r="B15">
        <v>2022</v>
      </c>
      <c r="C15">
        <v>39</v>
      </c>
      <c r="D15">
        <v>208</v>
      </c>
    </row>
    <row r="16" spans="1:4" x14ac:dyDescent="0.25">
      <c r="A16" s="1">
        <v>44837</v>
      </c>
      <c r="B16">
        <v>2022</v>
      </c>
      <c r="C16">
        <v>40</v>
      </c>
      <c r="D16">
        <v>207</v>
      </c>
    </row>
    <row r="17" spans="1:4" x14ac:dyDescent="0.25">
      <c r="A17" s="1">
        <v>44844</v>
      </c>
      <c r="B17">
        <v>2022</v>
      </c>
      <c r="C17">
        <v>41</v>
      </c>
      <c r="D17">
        <v>204</v>
      </c>
    </row>
    <row r="18" spans="1:4" x14ac:dyDescent="0.25">
      <c r="A18" s="1">
        <v>44851</v>
      </c>
      <c r="B18">
        <v>2022</v>
      </c>
      <c r="C18">
        <v>42</v>
      </c>
      <c r="D18">
        <v>201</v>
      </c>
    </row>
    <row r="19" spans="1:4" x14ac:dyDescent="0.25">
      <c r="A19" s="1">
        <v>44858</v>
      </c>
      <c r="B19">
        <v>2022</v>
      </c>
      <c r="C19">
        <v>43</v>
      </c>
      <c r="D19">
        <v>213</v>
      </c>
    </row>
    <row r="20" spans="1:4" x14ac:dyDescent="0.25">
      <c r="A20" s="1">
        <v>44865</v>
      </c>
      <c r="B20">
        <v>2022</v>
      </c>
      <c r="C20">
        <v>44</v>
      </c>
      <c r="D20">
        <v>214</v>
      </c>
    </row>
    <row r="21" spans="1:4" x14ac:dyDescent="0.25">
      <c r="A21" s="1">
        <v>44872</v>
      </c>
      <c r="B21">
        <v>2022</v>
      </c>
      <c r="C21">
        <v>45</v>
      </c>
      <c r="D21">
        <v>203</v>
      </c>
    </row>
    <row r="22" spans="1:4" x14ac:dyDescent="0.25">
      <c r="A22" s="1">
        <v>44879</v>
      </c>
      <c r="B22">
        <v>2022</v>
      </c>
      <c r="C22">
        <v>46</v>
      </c>
      <c r="D22">
        <v>202</v>
      </c>
    </row>
    <row r="23" spans="1:4" x14ac:dyDescent="0.25">
      <c r="A23" s="1">
        <v>44886</v>
      </c>
      <c r="B23">
        <v>2022</v>
      </c>
      <c r="C23">
        <v>47</v>
      </c>
      <c r="D23">
        <v>167</v>
      </c>
    </row>
    <row r="24" spans="1:4" x14ac:dyDescent="0.25">
      <c r="A24" s="1">
        <v>44893</v>
      </c>
      <c r="B24">
        <v>2022</v>
      </c>
      <c r="C24">
        <v>48</v>
      </c>
      <c r="D24">
        <v>157</v>
      </c>
    </row>
    <row r="25" spans="1:4" x14ac:dyDescent="0.25">
      <c r="A25" s="1">
        <v>44900</v>
      </c>
      <c r="B25">
        <v>2022</v>
      </c>
      <c r="C25">
        <v>49</v>
      </c>
      <c r="D25">
        <v>156</v>
      </c>
    </row>
    <row r="26" spans="1:4" x14ac:dyDescent="0.25">
      <c r="A26" s="1">
        <v>44907</v>
      </c>
      <c r="B26">
        <v>2022</v>
      </c>
      <c r="C26">
        <v>50</v>
      </c>
      <c r="D26">
        <v>153</v>
      </c>
    </row>
    <row r="27" spans="1:4" x14ac:dyDescent="0.25">
      <c r="A27" s="1">
        <v>44914</v>
      </c>
      <c r="B27">
        <v>2022</v>
      </c>
      <c r="C27">
        <v>51</v>
      </c>
      <c r="D27">
        <v>145</v>
      </c>
    </row>
    <row r="28" spans="1:4" x14ac:dyDescent="0.25">
      <c r="A28" s="1">
        <v>44921</v>
      </c>
      <c r="B28">
        <v>2022</v>
      </c>
      <c r="C28">
        <v>52</v>
      </c>
      <c r="D28">
        <v>141</v>
      </c>
    </row>
    <row r="29" spans="1:4" x14ac:dyDescent="0.25">
      <c r="A29" s="1">
        <v>44928</v>
      </c>
      <c r="B29">
        <v>2023</v>
      </c>
      <c r="C29">
        <v>1</v>
      </c>
      <c r="D29">
        <v>190</v>
      </c>
    </row>
    <row r="30" spans="1:4" x14ac:dyDescent="0.25">
      <c r="A30" s="1">
        <v>44935</v>
      </c>
      <c r="B30">
        <v>2023</v>
      </c>
      <c r="C30">
        <v>2</v>
      </c>
      <c r="D30">
        <v>233</v>
      </c>
    </row>
    <row r="31" spans="1:4" x14ac:dyDescent="0.25">
      <c r="A31" s="1">
        <v>44942</v>
      </c>
      <c r="B31">
        <v>2023</v>
      </c>
      <c r="C31">
        <v>3</v>
      </c>
      <c r="D31">
        <v>272</v>
      </c>
    </row>
    <row r="32" spans="1:4" x14ac:dyDescent="0.25">
      <c r="A32" s="1">
        <v>44949</v>
      </c>
      <c r="B32">
        <v>2023</v>
      </c>
      <c r="C32">
        <v>4</v>
      </c>
      <c r="D32">
        <v>295</v>
      </c>
    </row>
    <row r="33" spans="1:4" x14ac:dyDescent="0.25">
      <c r="A33" s="1">
        <v>44956</v>
      </c>
      <c r="B33">
        <v>2023</v>
      </c>
      <c r="C33">
        <v>5</v>
      </c>
      <c r="D33">
        <v>346</v>
      </c>
    </row>
    <row r="34" spans="1:4" x14ac:dyDescent="0.25">
      <c r="A34" s="1">
        <v>44963</v>
      </c>
      <c r="B34">
        <v>2023</v>
      </c>
      <c r="C34">
        <v>6</v>
      </c>
      <c r="D34">
        <v>340</v>
      </c>
    </row>
    <row r="35" spans="1:4" x14ac:dyDescent="0.25">
      <c r="A35" s="1">
        <v>44970</v>
      </c>
      <c r="B35">
        <v>2023</v>
      </c>
      <c r="C35">
        <v>7</v>
      </c>
      <c r="D35">
        <v>347</v>
      </c>
    </row>
    <row r="36" spans="1:4" x14ac:dyDescent="0.25">
      <c r="A36" s="1">
        <v>44977</v>
      </c>
      <c r="B36">
        <v>2023</v>
      </c>
      <c r="C36">
        <v>8</v>
      </c>
      <c r="D36">
        <v>384</v>
      </c>
    </row>
    <row r="37" spans="1:4" x14ac:dyDescent="0.25">
      <c r="A37" s="1">
        <v>44984</v>
      </c>
      <c r="B37">
        <v>2023</v>
      </c>
      <c r="C37">
        <v>9</v>
      </c>
      <c r="D37">
        <v>611</v>
      </c>
    </row>
    <row r="38" spans="1:4" x14ac:dyDescent="0.25">
      <c r="A38" s="1">
        <v>44991</v>
      </c>
      <c r="B38">
        <v>2023</v>
      </c>
      <c r="C38">
        <v>10</v>
      </c>
      <c r="D38">
        <v>712</v>
      </c>
    </row>
    <row r="39" spans="1:4" x14ac:dyDescent="0.25">
      <c r="A39" s="1">
        <v>44998</v>
      </c>
      <c r="B39">
        <v>2023</v>
      </c>
      <c r="C39">
        <v>11</v>
      </c>
      <c r="D39">
        <v>772</v>
      </c>
    </row>
    <row r="40" spans="1:4" x14ac:dyDescent="0.25">
      <c r="A40" s="1">
        <v>45005</v>
      </c>
      <c r="B40">
        <v>2023</v>
      </c>
      <c r="C40">
        <v>12</v>
      </c>
      <c r="D40">
        <v>656</v>
      </c>
    </row>
    <row r="41" spans="1:4" x14ac:dyDescent="0.25">
      <c r="A41" s="1">
        <v>45012</v>
      </c>
      <c r="B41">
        <v>2023</v>
      </c>
      <c r="C41">
        <v>13</v>
      </c>
      <c r="D41">
        <v>661</v>
      </c>
    </row>
    <row r="42" spans="1:4" x14ac:dyDescent="0.25">
      <c r="A42" s="1">
        <v>45019</v>
      </c>
      <c r="B42">
        <v>2023</v>
      </c>
      <c r="C42">
        <v>14</v>
      </c>
      <c r="D42">
        <v>699</v>
      </c>
    </row>
    <row r="43" spans="1:4" x14ac:dyDescent="0.25">
      <c r="A43" s="1">
        <v>45026</v>
      </c>
      <c r="B43">
        <v>2023</v>
      </c>
      <c r="C43">
        <v>15</v>
      </c>
      <c r="D43">
        <v>614</v>
      </c>
    </row>
    <row r="44" spans="1:4" x14ac:dyDescent="0.25">
      <c r="A44" s="1">
        <v>45033</v>
      </c>
      <c r="B44">
        <v>2023</v>
      </c>
      <c r="C44">
        <v>16</v>
      </c>
      <c r="D44">
        <v>545</v>
      </c>
    </row>
    <row r="45" spans="1:4" x14ac:dyDescent="0.25">
      <c r="A45" s="1">
        <v>45040</v>
      </c>
      <c r="B45">
        <v>2023</v>
      </c>
      <c r="C45">
        <v>17</v>
      </c>
      <c r="D45">
        <v>422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B5D9-8D63-47F0-80B4-497D58CCEF2F}">
  <dimension ref="A1:D11"/>
  <sheetViews>
    <sheetView workbookViewId="0">
      <selection activeCell="G22" sqref="G22"/>
    </sheetView>
  </sheetViews>
  <sheetFormatPr defaultRowHeight="15" x14ac:dyDescent="0.25"/>
  <cols>
    <col min="1" max="1" width="14.140625" bestFit="1" customWidth="1"/>
    <col min="2" max="2" width="7.140625" bestFit="1" customWidth="1"/>
    <col min="4" max="4" width="7.140625" bestFit="1" customWidth="1"/>
  </cols>
  <sheetData>
    <row r="1" spans="1:4" x14ac:dyDescent="0.25">
      <c r="A1" t="s">
        <v>2</v>
      </c>
      <c r="B1" t="s">
        <v>5</v>
      </c>
      <c r="C1" t="s">
        <v>6</v>
      </c>
      <c r="D1" t="s">
        <v>9</v>
      </c>
    </row>
    <row r="2" spans="1:4" x14ac:dyDescent="0.25">
      <c r="A2" s="1">
        <v>44743</v>
      </c>
      <c r="B2">
        <v>2022</v>
      </c>
      <c r="C2">
        <v>7</v>
      </c>
      <c r="D2">
        <v>193</v>
      </c>
    </row>
    <row r="3" spans="1:4" x14ac:dyDescent="0.25">
      <c r="A3" s="1">
        <v>44774</v>
      </c>
      <c r="B3">
        <v>2022</v>
      </c>
      <c r="C3">
        <v>8</v>
      </c>
      <c r="D3">
        <v>366</v>
      </c>
    </row>
    <row r="4" spans="1:4" x14ac:dyDescent="0.25">
      <c r="A4" s="1">
        <v>44805</v>
      </c>
      <c r="B4">
        <v>2022</v>
      </c>
      <c r="C4">
        <v>9</v>
      </c>
      <c r="D4">
        <v>378</v>
      </c>
    </row>
    <row r="5" spans="1:4" x14ac:dyDescent="0.25">
      <c r="A5" s="1">
        <v>44835</v>
      </c>
      <c r="B5">
        <v>2022</v>
      </c>
      <c r="C5">
        <v>10</v>
      </c>
      <c r="D5">
        <v>393</v>
      </c>
    </row>
    <row r="6" spans="1:4" x14ac:dyDescent="0.25">
      <c r="A6" s="1">
        <v>44866</v>
      </c>
      <c r="B6">
        <v>2022</v>
      </c>
      <c r="C6">
        <v>11</v>
      </c>
      <c r="D6">
        <v>426</v>
      </c>
    </row>
    <row r="7" spans="1:4" x14ac:dyDescent="0.25">
      <c r="A7" s="1">
        <v>44896</v>
      </c>
      <c r="B7">
        <v>2022</v>
      </c>
      <c r="C7">
        <v>12</v>
      </c>
      <c r="D7">
        <v>390</v>
      </c>
    </row>
    <row r="8" spans="1:4" x14ac:dyDescent="0.25">
      <c r="A8" s="1">
        <v>44927</v>
      </c>
      <c r="B8">
        <v>2023</v>
      </c>
      <c r="C8">
        <v>1</v>
      </c>
      <c r="D8">
        <v>536</v>
      </c>
    </row>
    <row r="9" spans="1:4" x14ac:dyDescent="0.25">
      <c r="A9" s="1">
        <v>44958</v>
      </c>
      <c r="B9">
        <v>2023</v>
      </c>
      <c r="C9">
        <v>2</v>
      </c>
      <c r="D9">
        <v>696</v>
      </c>
    </row>
    <row r="10" spans="1:4" x14ac:dyDescent="0.25">
      <c r="A10" s="1">
        <v>44986</v>
      </c>
      <c r="B10">
        <v>2023</v>
      </c>
      <c r="C10">
        <v>3</v>
      </c>
      <c r="D10">
        <v>1544</v>
      </c>
    </row>
    <row r="11" spans="1:4" x14ac:dyDescent="0.25">
      <c r="A11" s="1">
        <v>45017</v>
      </c>
      <c r="B11">
        <v>2023</v>
      </c>
      <c r="C11">
        <v>4</v>
      </c>
      <c r="D11">
        <v>1027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9A17-548E-4308-B56B-7216C47DDF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31510-23E1-45EF-9C8A-6EE23F452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dau</vt:lpstr>
      <vt:lpstr>wau</vt:lpstr>
      <vt:lpstr>mau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152.2</cp:lastModifiedBy>
  <dcterms:created xsi:type="dcterms:W3CDTF">2026-01-30T17:03:22Z</dcterms:created>
  <dcterms:modified xsi:type="dcterms:W3CDTF">2026-01-30T17:34:13Z</dcterms:modified>
</cp:coreProperties>
</file>